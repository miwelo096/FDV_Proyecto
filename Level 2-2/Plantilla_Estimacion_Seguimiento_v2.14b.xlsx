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tsanfe/Library/Mobile Documents/com~apple~CloudDocs/Profesional/1.-Asignaturas/2027/Primer trimestre/Ingenieria Software II/Semana 2 Scrum/"/>
    </mc:Choice>
  </mc:AlternateContent>
  <xr:revisionPtr revIDLastSave="0" documentId="13_ncr:1_{3BE78CAD-A5EB-2A4D-9BE4-D9AB0B064A03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Plan" sheetId="1" r:id="rId1"/>
    <sheet name="Lider SM" sheetId="2" r:id="rId2"/>
    <sheet name="Producto Owner" sheetId="3" r:id="rId3"/>
    <sheet name="Planificacion" sheetId="4" r:id="rId4"/>
    <sheet name="Desarrollo" sheetId="5" r:id="rId5"/>
    <sheet name="Cambios" sheetId="6" r:id="rId6"/>
    <sheet name="Calidad" sheetId="7" r:id="rId7"/>
    <sheet name="Horas Estimadas" sheetId="8" r:id="rId8"/>
    <sheet name="Horas Reales" sheetId="9" r:id="rId9"/>
    <sheet name="Valor Ganado" sheetId="10" r:id="rId10"/>
    <sheet name="Historias" sheetId="11" r:id="rId11"/>
    <sheet name="Burndown" sheetId="12" r:id="rId12"/>
    <sheet name="Resumen Scrum" sheetId="13" r:id="rId13"/>
    <sheet name="Plan Calidad" sheetId="14" r:id="rId14"/>
    <sheet name="DoD" sheetId="15" r:id="rId15"/>
    <sheet name="Pruebas" sheetId="16" r:id="rId16"/>
    <sheet name="Evidencias" sheetId="17" r:id="rId17"/>
    <sheet name="Defectos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4" l="1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Z14" i="1"/>
  <c r="J60" i="1"/>
  <c r="S60" i="1"/>
  <c r="J6" i="1"/>
  <c r="J7" i="1"/>
  <c r="J8" i="1"/>
  <c r="J9" i="1"/>
  <c r="J10" i="1"/>
  <c r="J11" i="1"/>
  <c r="J12" i="1"/>
  <c r="J13" i="1"/>
  <c r="K43" i="1" s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9" i="1"/>
  <c r="J30" i="1"/>
  <c r="J31" i="1"/>
  <c r="J32" i="1"/>
  <c r="J33" i="1"/>
  <c r="J34" i="1"/>
  <c r="J35" i="1"/>
  <c r="J36" i="1"/>
  <c r="C25" i="10" s="1"/>
  <c r="J37" i="1"/>
  <c r="J38" i="1"/>
  <c r="J39" i="1"/>
  <c r="J41" i="1"/>
  <c r="J42" i="1"/>
  <c r="J43" i="1"/>
  <c r="J44" i="1"/>
  <c r="J45" i="1"/>
  <c r="J46" i="1"/>
  <c r="J47" i="1"/>
  <c r="J48" i="1"/>
  <c r="J50" i="1"/>
  <c r="J51" i="1"/>
  <c r="J52" i="1"/>
  <c r="J53" i="1"/>
  <c r="J54" i="1"/>
  <c r="J55" i="1"/>
  <c r="J57" i="1"/>
  <c r="J58" i="1"/>
  <c r="J59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6" i="1"/>
  <c r="J77" i="1"/>
  <c r="J78" i="1"/>
  <c r="J79" i="1"/>
  <c r="J80" i="1"/>
  <c r="J81" i="1"/>
  <c r="J82" i="1"/>
  <c r="J84" i="1"/>
  <c r="J85" i="1"/>
  <c r="J86" i="1"/>
  <c r="J87" i="1"/>
  <c r="J88" i="1"/>
  <c r="J89" i="1"/>
  <c r="J90" i="1"/>
  <c r="J91" i="1"/>
  <c r="J92" i="1"/>
  <c r="J93" i="1"/>
  <c r="J94" i="1"/>
  <c r="J95" i="1"/>
  <c r="J5" i="1"/>
  <c r="AB26" i="1"/>
  <c r="AC26" i="1" s="1"/>
  <c r="AB25" i="1"/>
  <c r="AC25" i="1" s="1"/>
  <c r="AB24" i="1"/>
  <c r="AC24" i="1" s="1"/>
  <c r="AB23" i="1"/>
  <c r="AC23" i="1" s="1"/>
  <c r="AB22" i="1"/>
  <c r="AC22" i="1" s="1"/>
  <c r="AB21" i="1"/>
  <c r="Z26" i="1"/>
  <c r="AA26" i="1" s="1"/>
  <c r="Z25" i="1"/>
  <c r="AA25" i="1" s="1"/>
  <c r="K106" i="15"/>
  <c r="K105" i="15"/>
  <c r="K104" i="15"/>
  <c r="K103" i="15"/>
  <c r="K102" i="15"/>
  <c r="K101" i="15"/>
  <c r="K100" i="15"/>
  <c r="K99" i="15"/>
  <c r="K98" i="15"/>
  <c r="K97" i="15"/>
  <c r="K96" i="15"/>
  <c r="K95" i="15"/>
  <c r="K94" i="15"/>
  <c r="K93" i="15"/>
  <c r="K92" i="15"/>
  <c r="K91" i="15"/>
  <c r="K90" i="15"/>
  <c r="K89" i="15"/>
  <c r="K88" i="15"/>
  <c r="K87" i="15"/>
  <c r="K86" i="15"/>
  <c r="K85" i="15"/>
  <c r="K84" i="15"/>
  <c r="K83" i="15"/>
  <c r="K82" i="15"/>
  <c r="K81" i="15"/>
  <c r="K80" i="15"/>
  <c r="K79" i="15"/>
  <c r="K78" i="15"/>
  <c r="K77" i="15"/>
  <c r="K76" i="15"/>
  <c r="K75" i="15"/>
  <c r="K74" i="15"/>
  <c r="K73" i="15"/>
  <c r="K72" i="15"/>
  <c r="K71" i="15"/>
  <c r="K70" i="15"/>
  <c r="K69" i="15"/>
  <c r="K68" i="15"/>
  <c r="K67" i="15"/>
  <c r="K66" i="15"/>
  <c r="K65" i="15"/>
  <c r="K64" i="15"/>
  <c r="K63" i="15"/>
  <c r="K62" i="15"/>
  <c r="K61" i="15"/>
  <c r="K60" i="15"/>
  <c r="K59" i="15"/>
  <c r="K58" i="15"/>
  <c r="K57" i="15"/>
  <c r="K56" i="15"/>
  <c r="K55" i="15"/>
  <c r="K54" i="15"/>
  <c r="K53" i="15"/>
  <c r="K52" i="15"/>
  <c r="K51" i="15"/>
  <c r="K50" i="15"/>
  <c r="K49" i="15"/>
  <c r="K48" i="15"/>
  <c r="K47" i="15"/>
  <c r="K46" i="15"/>
  <c r="K45" i="15"/>
  <c r="K44" i="15"/>
  <c r="K43" i="15"/>
  <c r="K42" i="15"/>
  <c r="K41" i="15"/>
  <c r="K40" i="15"/>
  <c r="K39" i="15"/>
  <c r="K38" i="15"/>
  <c r="K37" i="15"/>
  <c r="K36" i="15"/>
  <c r="K35" i="15"/>
  <c r="K34" i="15"/>
  <c r="K33" i="15"/>
  <c r="K32" i="15"/>
  <c r="K31" i="15"/>
  <c r="K30" i="15"/>
  <c r="K29" i="15"/>
  <c r="K28" i="15"/>
  <c r="K27" i="15"/>
  <c r="K26" i="15"/>
  <c r="K25" i="15"/>
  <c r="K24" i="15"/>
  <c r="K23" i="15"/>
  <c r="K22" i="15"/>
  <c r="K21" i="15"/>
  <c r="K20" i="15"/>
  <c r="K19" i="15"/>
  <c r="K18" i="15"/>
  <c r="K17" i="15"/>
  <c r="K16" i="15"/>
  <c r="K15" i="15"/>
  <c r="K14" i="15"/>
  <c r="K13" i="15"/>
  <c r="K12" i="15"/>
  <c r="K11" i="15"/>
  <c r="K10" i="15"/>
  <c r="K9" i="15"/>
  <c r="K8" i="15"/>
  <c r="K7" i="15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7" i="14"/>
  <c r="B19" i="13"/>
  <c r="B18" i="13"/>
  <c r="B17" i="13"/>
  <c r="B16" i="13"/>
  <c r="B15" i="13"/>
  <c r="B14" i="13"/>
  <c r="B12" i="13"/>
  <c r="B11" i="13"/>
  <c r="B10" i="13"/>
  <c r="E12" i="12"/>
  <c r="C12" i="12"/>
  <c r="A12" i="12"/>
  <c r="B6" i="12"/>
  <c r="D28" i="10"/>
  <c r="C28" i="10"/>
  <c r="D27" i="10"/>
  <c r="C27" i="10"/>
  <c r="D26" i="10"/>
  <c r="C26" i="10"/>
  <c r="F20" i="10"/>
  <c r="B3" i="10"/>
  <c r="I12" i="10" s="1"/>
  <c r="S14" i="9"/>
  <c r="R14" i="9"/>
  <c r="Q14" i="9"/>
  <c r="P14" i="9"/>
  <c r="O14" i="9"/>
  <c r="N14" i="9"/>
  <c r="M14" i="9"/>
  <c r="L14" i="9"/>
  <c r="K14" i="9"/>
  <c r="S13" i="9"/>
  <c r="R13" i="9"/>
  <c r="Q13" i="9"/>
  <c r="P13" i="9"/>
  <c r="O13" i="9"/>
  <c r="N13" i="9"/>
  <c r="M13" i="9"/>
  <c r="L13" i="9"/>
  <c r="K13" i="9"/>
  <c r="S12" i="9"/>
  <c r="R12" i="9"/>
  <c r="Q12" i="9"/>
  <c r="P12" i="9"/>
  <c r="O12" i="9"/>
  <c r="N12" i="9"/>
  <c r="M12" i="9"/>
  <c r="L12" i="9"/>
  <c r="K12" i="9"/>
  <c r="S11" i="9"/>
  <c r="R11" i="9"/>
  <c r="Q11" i="9"/>
  <c r="P11" i="9"/>
  <c r="O11" i="9"/>
  <c r="N11" i="9"/>
  <c r="M11" i="9"/>
  <c r="L11" i="9"/>
  <c r="K11" i="9"/>
  <c r="S10" i="9"/>
  <c r="R10" i="9"/>
  <c r="Q10" i="9"/>
  <c r="P10" i="9"/>
  <c r="O10" i="9"/>
  <c r="N10" i="9"/>
  <c r="M10" i="9"/>
  <c r="L10" i="9"/>
  <c r="K10" i="9"/>
  <c r="S9" i="9"/>
  <c r="R9" i="9"/>
  <c r="Q9" i="9"/>
  <c r="P9" i="9"/>
  <c r="O9" i="9"/>
  <c r="N9" i="9"/>
  <c r="M9" i="9"/>
  <c r="L9" i="9"/>
  <c r="K9" i="9"/>
  <c r="S14" i="8"/>
  <c r="R14" i="8"/>
  <c r="Q14" i="8"/>
  <c r="P14" i="8"/>
  <c r="O14" i="8"/>
  <c r="N14" i="8"/>
  <c r="M14" i="8"/>
  <c r="L14" i="8"/>
  <c r="K14" i="8"/>
  <c r="S13" i="8"/>
  <c r="R13" i="8"/>
  <c r="Q13" i="8"/>
  <c r="P13" i="8"/>
  <c r="O13" i="8"/>
  <c r="N13" i="8"/>
  <c r="M13" i="8"/>
  <c r="L13" i="8"/>
  <c r="K13" i="8"/>
  <c r="N12" i="8"/>
  <c r="M12" i="8"/>
  <c r="L12" i="8"/>
  <c r="K12" i="8"/>
  <c r="N11" i="8"/>
  <c r="M11" i="8"/>
  <c r="L11" i="8"/>
  <c r="K11" i="8"/>
  <c r="N10" i="8"/>
  <c r="M10" i="8"/>
  <c r="L10" i="8"/>
  <c r="K10" i="8"/>
  <c r="N9" i="8"/>
  <c r="M9" i="8"/>
  <c r="L9" i="8"/>
  <c r="K9" i="8"/>
  <c r="E88" i="7"/>
  <c r="D88" i="7"/>
  <c r="C88" i="7"/>
  <c r="E87" i="7"/>
  <c r="D87" i="7"/>
  <c r="C87" i="7"/>
  <c r="E86" i="7"/>
  <c r="D86" i="7"/>
  <c r="C86" i="7"/>
  <c r="E85" i="7"/>
  <c r="D85" i="7"/>
  <c r="C85" i="7"/>
  <c r="E84" i="7"/>
  <c r="D84" i="7"/>
  <c r="C84" i="7"/>
  <c r="E83" i="7"/>
  <c r="D83" i="7"/>
  <c r="C83" i="7"/>
  <c r="E82" i="7"/>
  <c r="D82" i="7"/>
  <c r="C82" i="7"/>
  <c r="E81" i="7"/>
  <c r="D81" i="7"/>
  <c r="C81" i="7"/>
  <c r="E80" i="7"/>
  <c r="D80" i="7"/>
  <c r="C80" i="7"/>
  <c r="E79" i="7"/>
  <c r="D79" i="7"/>
  <c r="C79" i="7"/>
  <c r="E78" i="7"/>
  <c r="D78" i="7"/>
  <c r="C78" i="7"/>
  <c r="E77" i="7"/>
  <c r="D77" i="7"/>
  <c r="C77" i="7"/>
  <c r="E76" i="7"/>
  <c r="D76" i="7"/>
  <c r="C76" i="7"/>
  <c r="E75" i="7"/>
  <c r="D75" i="7"/>
  <c r="C75" i="7"/>
  <c r="E74" i="7"/>
  <c r="D74" i="7"/>
  <c r="C74" i="7"/>
  <c r="E73" i="7"/>
  <c r="D73" i="7"/>
  <c r="C73" i="7"/>
  <c r="E72" i="7"/>
  <c r="D72" i="7"/>
  <c r="C72" i="7"/>
  <c r="E71" i="7"/>
  <c r="D71" i="7"/>
  <c r="C71" i="7"/>
  <c r="E70" i="7"/>
  <c r="D70" i="7"/>
  <c r="C70" i="7"/>
  <c r="E69" i="7"/>
  <c r="D69" i="7"/>
  <c r="C69" i="7"/>
  <c r="E68" i="7"/>
  <c r="D68" i="7"/>
  <c r="C68" i="7"/>
  <c r="E67" i="7"/>
  <c r="D67" i="7"/>
  <c r="C67" i="7"/>
  <c r="E66" i="7"/>
  <c r="D66" i="7"/>
  <c r="C66" i="7"/>
  <c r="E65" i="7"/>
  <c r="D65" i="7"/>
  <c r="C65" i="7"/>
  <c r="E64" i="7"/>
  <c r="D64" i="7"/>
  <c r="C64" i="7"/>
  <c r="E63" i="7"/>
  <c r="D63" i="7"/>
  <c r="C63" i="7"/>
  <c r="E62" i="7"/>
  <c r="D62" i="7"/>
  <c r="C62" i="7"/>
  <c r="E61" i="7"/>
  <c r="D61" i="7"/>
  <c r="C61" i="7"/>
  <c r="E60" i="7"/>
  <c r="D60" i="7"/>
  <c r="C60" i="7"/>
  <c r="E59" i="7"/>
  <c r="D59" i="7"/>
  <c r="C59" i="7"/>
  <c r="E58" i="7"/>
  <c r="D58" i="7"/>
  <c r="C58" i="7"/>
  <c r="E57" i="7"/>
  <c r="D57" i="7"/>
  <c r="C57" i="7"/>
  <c r="E56" i="7"/>
  <c r="D56" i="7"/>
  <c r="C56" i="7"/>
  <c r="E55" i="7"/>
  <c r="D55" i="7"/>
  <c r="C55" i="7"/>
  <c r="E54" i="7"/>
  <c r="D54" i="7"/>
  <c r="C54" i="7"/>
  <c r="E53" i="7"/>
  <c r="D53" i="7"/>
  <c r="C53" i="7"/>
  <c r="E52" i="7"/>
  <c r="D52" i="7"/>
  <c r="C52" i="7"/>
  <c r="E51" i="7"/>
  <c r="D51" i="7"/>
  <c r="C51" i="7"/>
  <c r="E50" i="7"/>
  <c r="D50" i="7"/>
  <c r="C50" i="7"/>
  <c r="E49" i="7"/>
  <c r="D49" i="7"/>
  <c r="C49" i="7"/>
  <c r="E48" i="7"/>
  <c r="D48" i="7"/>
  <c r="C48" i="7"/>
  <c r="E47" i="7"/>
  <c r="D47" i="7"/>
  <c r="C47" i="7"/>
  <c r="E46" i="7"/>
  <c r="D46" i="7"/>
  <c r="C46" i="7"/>
  <c r="E45" i="7"/>
  <c r="D45" i="7"/>
  <c r="C45" i="7"/>
  <c r="E44" i="7"/>
  <c r="D44" i="7"/>
  <c r="C44" i="7"/>
  <c r="E43" i="7"/>
  <c r="D43" i="7"/>
  <c r="C43" i="7"/>
  <c r="E42" i="7"/>
  <c r="D42" i="7"/>
  <c r="C42" i="7"/>
  <c r="E41" i="7"/>
  <c r="D41" i="7"/>
  <c r="C41" i="7"/>
  <c r="E40" i="7"/>
  <c r="D40" i="7"/>
  <c r="C40" i="7"/>
  <c r="E39" i="7"/>
  <c r="D39" i="7"/>
  <c r="C39" i="7"/>
  <c r="E38" i="7"/>
  <c r="D38" i="7"/>
  <c r="C38" i="7"/>
  <c r="E37" i="7"/>
  <c r="D37" i="7"/>
  <c r="C37" i="7"/>
  <c r="E36" i="7"/>
  <c r="D36" i="7"/>
  <c r="C36" i="7"/>
  <c r="E35" i="7"/>
  <c r="D35" i="7"/>
  <c r="C35" i="7"/>
  <c r="E34" i="7"/>
  <c r="D34" i="7"/>
  <c r="C34" i="7"/>
  <c r="E33" i="7"/>
  <c r="D33" i="7"/>
  <c r="C33" i="7"/>
  <c r="E32" i="7"/>
  <c r="D32" i="7"/>
  <c r="C32" i="7"/>
  <c r="E31" i="7"/>
  <c r="D31" i="7"/>
  <c r="C31" i="7"/>
  <c r="E30" i="7"/>
  <c r="D30" i="7"/>
  <c r="C30" i="7"/>
  <c r="E29" i="7"/>
  <c r="D29" i="7"/>
  <c r="C29" i="7"/>
  <c r="E28" i="7"/>
  <c r="D28" i="7"/>
  <c r="C28" i="7"/>
  <c r="E27" i="7"/>
  <c r="D27" i="7"/>
  <c r="C27" i="7"/>
  <c r="E26" i="7"/>
  <c r="D26" i="7"/>
  <c r="C26" i="7"/>
  <c r="E25" i="7"/>
  <c r="D25" i="7"/>
  <c r="C25" i="7"/>
  <c r="E24" i="7"/>
  <c r="D24" i="7"/>
  <c r="C24" i="7"/>
  <c r="E23" i="7"/>
  <c r="D23" i="7"/>
  <c r="C23" i="7"/>
  <c r="E22" i="7"/>
  <c r="D22" i="7"/>
  <c r="C22" i="7"/>
  <c r="E21" i="7"/>
  <c r="D21" i="7"/>
  <c r="C21" i="7"/>
  <c r="E20" i="7"/>
  <c r="D20" i="7"/>
  <c r="C20" i="7"/>
  <c r="E19" i="7"/>
  <c r="D19" i="7"/>
  <c r="C19" i="7"/>
  <c r="E18" i="7"/>
  <c r="D18" i="7"/>
  <c r="C18" i="7"/>
  <c r="E15" i="7"/>
  <c r="D15" i="7"/>
  <c r="C15" i="7"/>
  <c r="E14" i="7"/>
  <c r="D14" i="7"/>
  <c r="C14" i="7"/>
  <c r="E13" i="7"/>
  <c r="D13" i="7"/>
  <c r="C13" i="7"/>
  <c r="E12" i="7"/>
  <c r="D12" i="7"/>
  <c r="C12" i="7"/>
  <c r="E11" i="7"/>
  <c r="D11" i="7"/>
  <c r="C11" i="7"/>
  <c r="E10" i="7"/>
  <c r="D10" i="7"/>
  <c r="C10" i="7"/>
  <c r="E9" i="7"/>
  <c r="D9" i="7"/>
  <c r="C9" i="7"/>
  <c r="E8" i="7"/>
  <c r="D8" i="7"/>
  <c r="C8" i="7"/>
  <c r="E7" i="7"/>
  <c r="D7" i="7"/>
  <c r="C7" i="7"/>
  <c r="E6" i="7"/>
  <c r="D6" i="7"/>
  <c r="C6" i="7"/>
  <c r="E88" i="6"/>
  <c r="D88" i="6"/>
  <c r="C88" i="6"/>
  <c r="E87" i="6"/>
  <c r="D87" i="6"/>
  <c r="C87" i="6"/>
  <c r="E86" i="6"/>
  <c r="D86" i="6"/>
  <c r="C86" i="6"/>
  <c r="E85" i="6"/>
  <c r="D85" i="6"/>
  <c r="C85" i="6"/>
  <c r="E84" i="6"/>
  <c r="D84" i="6"/>
  <c r="C84" i="6"/>
  <c r="E83" i="6"/>
  <c r="D83" i="6"/>
  <c r="C83" i="6"/>
  <c r="E82" i="6"/>
  <c r="D82" i="6"/>
  <c r="C82" i="6"/>
  <c r="E81" i="6"/>
  <c r="D81" i="6"/>
  <c r="C81" i="6"/>
  <c r="E80" i="6"/>
  <c r="D80" i="6"/>
  <c r="C80" i="6"/>
  <c r="E79" i="6"/>
  <c r="D79" i="6"/>
  <c r="C79" i="6"/>
  <c r="E78" i="6"/>
  <c r="D78" i="6"/>
  <c r="C78" i="6"/>
  <c r="E77" i="6"/>
  <c r="D77" i="6"/>
  <c r="C77" i="6"/>
  <c r="E76" i="6"/>
  <c r="D76" i="6"/>
  <c r="C76" i="6"/>
  <c r="E75" i="6"/>
  <c r="D75" i="6"/>
  <c r="C75" i="6"/>
  <c r="E74" i="6"/>
  <c r="D74" i="6"/>
  <c r="C74" i="6"/>
  <c r="E73" i="6"/>
  <c r="D73" i="6"/>
  <c r="C73" i="6"/>
  <c r="E72" i="6"/>
  <c r="D72" i="6"/>
  <c r="C72" i="6"/>
  <c r="E71" i="6"/>
  <c r="D71" i="6"/>
  <c r="C71" i="6"/>
  <c r="E70" i="6"/>
  <c r="D70" i="6"/>
  <c r="C70" i="6"/>
  <c r="E69" i="6"/>
  <c r="D69" i="6"/>
  <c r="C69" i="6"/>
  <c r="E68" i="6"/>
  <c r="D68" i="6"/>
  <c r="C68" i="6"/>
  <c r="E67" i="6"/>
  <c r="D67" i="6"/>
  <c r="C67" i="6"/>
  <c r="E66" i="6"/>
  <c r="D66" i="6"/>
  <c r="C66" i="6"/>
  <c r="E65" i="6"/>
  <c r="D65" i="6"/>
  <c r="C65" i="6"/>
  <c r="E64" i="6"/>
  <c r="D64" i="6"/>
  <c r="C64" i="6"/>
  <c r="E63" i="6"/>
  <c r="D63" i="6"/>
  <c r="C63" i="6"/>
  <c r="E62" i="6"/>
  <c r="D62" i="6"/>
  <c r="C62" i="6"/>
  <c r="E61" i="6"/>
  <c r="D61" i="6"/>
  <c r="C61" i="6"/>
  <c r="E60" i="6"/>
  <c r="D60" i="6"/>
  <c r="C60" i="6"/>
  <c r="E59" i="6"/>
  <c r="D59" i="6"/>
  <c r="C59" i="6"/>
  <c r="E58" i="6"/>
  <c r="D58" i="6"/>
  <c r="C58" i="6"/>
  <c r="E57" i="6"/>
  <c r="D57" i="6"/>
  <c r="C57" i="6"/>
  <c r="E56" i="6"/>
  <c r="D56" i="6"/>
  <c r="C56" i="6"/>
  <c r="E55" i="6"/>
  <c r="D55" i="6"/>
  <c r="C55" i="6"/>
  <c r="E54" i="6"/>
  <c r="D54" i="6"/>
  <c r="C54" i="6"/>
  <c r="E53" i="6"/>
  <c r="D53" i="6"/>
  <c r="C53" i="6"/>
  <c r="E52" i="6"/>
  <c r="D52" i="6"/>
  <c r="C52" i="6"/>
  <c r="E51" i="6"/>
  <c r="D51" i="6"/>
  <c r="C51" i="6"/>
  <c r="E50" i="6"/>
  <c r="D50" i="6"/>
  <c r="C50" i="6"/>
  <c r="E49" i="6"/>
  <c r="D49" i="6"/>
  <c r="C49" i="6"/>
  <c r="E48" i="6"/>
  <c r="D48" i="6"/>
  <c r="C48" i="6"/>
  <c r="E47" i="6"/>
  <c r="D47" i="6"/>
  <c r="C47" i="6"/>
  <c r="E46" i="6"/>
  <c r="D46" i="6"/>
  <c r="C46" i="6"/>
  <c r="E45" i="6"/>
  <c r="D45" i="6"/>
  <c r="C45" i="6"/>
  <c r="E44" i="6"/>
  <c r="D44" i="6"/>
  <c r="C44" i="6"/>
  <c r="E43" i="6"/>
  <c r="D43" i="6"/>
  <c r="C43" i="6"/>
  <c r="E42" i="6"/>
  <c r="D42" i="6"/>
  <c r="C42" i="6"/>
  <c r="E41" i="6"/>
  <c r="D41" i="6"/>
  <c r="C41" i="6"/>
  <c r="E40" i="6"/>
  <c r="D40" i="6"/>
  <c r="C40" i="6"/>
  <c r="E39" i="6"/>
  <c r="D39" i="6"/>
  <c r="C39" i="6"/>
  <c r="E38" i="6"/>
  <c r="D38" i="6"/>
  <c r="C38" i="6"/>
  <c r="E37" i="6"/>
  <c r="D37" i="6"/>
  <c r="C37" i="6"/>
  <c r="E36" i="6"/>
  <c r="D36" i="6"/>
  <c r="C36" i="6"/>
  <c r="E35" i="6"/>
  <c r="D35" i="6"/>
  <c r="C35" i="6"/>
  <c r="E34" i="6"/>
  <c r="D34" i="6"/>
  <c r="C34" i="6"/>
  <c r="E33" i="6"/>
  <c r="D33" i="6"/>
  <c r="C33" i="6"/>
  <c r="E32" i="6"/>
  <c r="D32" i="6"/>
  <c r="C32" i="6"/>
  <c r="E31" i="6"/>
  <c r="D31" i="6"/>
  <c r="C31" i="6"/>
  <c r="E30" i="6"/>
  <c r="D30" i="6"/>
  <c r="C30" i="6"/>
  <c r="E29" i="6"/>
  <c r="D29" i="6"/>
  <c r="C29" i="6"/>
  <c r="E28" i="6"/>
  <c r="D28" i="6"/>
  <c r="C28" i="6"/>
  <c r="E27" i="6"/>
  <c r="D27" i="6"/>
  <c r="C27" i="6"/>
  <c r="E26" i="6"/>
  <c r="D26" i="6"/>
  <c r="C26" i="6"/>
  <c r="E25" i="6"/>
  <c r="D25" i="6"/>
  <c r="C25" i="6"/>
  <c r="E24" i="6"/>
  <c r="D24" i="6"/>
  <c r="C24" i="6"/>
  <c r="E23" i="6"/>
  <c r="D23" i="6"/>
  <c r="C23" i="6"/>
  <c r="E22" i="6"/>
  <c r="D22" i="6"/>
  <c r="C22" i="6"/>
  <c r="E21" i="6"/>
  <c r="D21" i="6"/>
  <c r="C21" i="6"/>
  <c r="E20" i="6"/>
  <c r="D20" i="6"/>
  <c r="C20" i="6"/>
  <c r="E19" i="6"/>
  <c r="D19" i="6"/>
  <c r="C19" i="6"/>
  <c r="E18" i="6"/>
  <c r="D18" i="6"/>
  <c r="C18" i="6"/>
  <c r="E15" i="6"/>
  <c r="D15" i="6"/>
  <c r="C15" i="6"/>
  <c r="E14" i="6"/>
  <c r="D14" i="6"/>
  <c r="C14" i="6"/>
  <c r="E13" i="6"/>
  <c r="D13" i="6"/>
  <c r="C13" i="6"/>
  <c r="E12" i="6"/>
  <c r="D12" i="6"/>
  <c r="C12" i="6"/>
  <c r="E11" i="6"/>
  <c r="D11" i="6"/>
  <c r="C11" i="6"/>
  <c r="E10" i="6"/>
  <c r="D10" i="6"/>
  <c r="C10" i="6"/>
  <c r="E9" i="6"/>
  <c r="D9" i="6"/>
  <c r="C9" i="6"/>
  <c r="E8" i="6"/>
  <c r="D8" i="6"/>
  <c r="C8" i="6"/>
  <c r="E7" i="6"/>
  <c r="D7" i="6"/>
  <c r="C7" i="6"/>
  <c r="E6" i="6"/>
  <c r="D6" i="6"/>
  <c r="C6" i="6"/>
  <c r="E88" i="5"/>
  <c r="D88" i="5"/>
  <c r="C88" i="5"/>
  <c r="E87" i="5"/>
  <c r="D87" i="5"/>
  <c r="C87" i="5"/>
  <c r="E86" i="5"/>
  <c r="D86" i="5"/>
  <c r="C86" i="5"/>
  <c r="E85" i="5"/>
  <c r="D85" i="5"/>
  <c r="C85" i="5"/>
  <c r="E84" i="5"/>
  <c r="D84" i="5"/>
  <c r="C84" i="5"/>
  <c r="E83" i="5"/>
  <c r="D83" i="5"/>
  <c r="C83" i="5"/>
  <c r="E82" i="5"/>
  <c r="D82" i="5"/>
  <c r="C82" i="5"/>
  <c r="E81" i="5"/>
  <c r="D81" i="5"/>
  <c r="C81" i="5"/>
  <c r="E80" i="5"/>
  <c r="D80" i="5"/>
  <c r="C80" i="5"/>
  <c r="E79" i="5"/>
  <c r="D79" i="5"/>
  <c r="C79" i="5"/>
  <c r="E78" i="5"/>
  <c r="D78" i="5"/>
  <c r="C78" i="5"/>
  <c r="E77" i="5"/>
  <c r="D77" i="5"/>
  <c r="C77" i="5"/>
  <c r="E76" i="5"/>
  <c r="D76" i="5"/>
  <c r="C76" i="5"/>
  <c r="E75" i="5"/>
  <c r="D75" i="5"/>
  <c r="C75" i="5"/>
  <c r="E74" i="5"/>
  <c r="D74" i="5"/>
  <c r="C74" i="5"/>
  <c r="E73" i="5"/>
  <c r="D73" i="5"/>
  <c r="C73" i="5"/>
  <c r="E72" i="5"/>
  <c r="D72" i="5"/>
  <c r="C72" i="5"/>
  <c r="E71" i="5"/>
  <c r="D71" i="5"/>
  <c r="C71" i="5"/>
  <c r="E70" i="5"/>
  <c r="D70" i="5"/>
  <c r="C70" i="5"/>
  <c r="E69" i="5"/>
  <c r="D69" i="5"/>
  <c r="C69" i="5"/>
  <c r="E68" i="5"/>
  <c r="D68" i="5"/>
  <c r="C68" i="5"/>
  <c r="E67" i="5"/>
  <c r="D67" i="5"/>
  <c r="C67" i="5"/>
  <c r="E66" i="5"/>
  <c r="D66" i="5"/>
  <c r="C66" i="5"/>
  <c r="E65" i="5"/>
  <c r="D65" i="5"/>
  <c r="C65" i="5"/>
  <c r="E64" i="5"/>
  <c r="D64" i="5"/>
  <c r="C64" i="5"/>
  <c r="E63" i="5"/>
  <c r="D63" i="5"/>
  <c r="C63" i="5"/>
  <c r="E62" i="5"/>
  <c r="D62" i="5"/>
  <c r="C62" i="5"/>
  <c r="E61" i="5"/>
  <c r="D61" i="5"/>
  <c r="C61" i="5"/>
  <c r="E60" i="5"/>
  <c r="D60" i="5"/>
  <c r="C60" i="5"/>
  <c r="E59" i="5"/>
  <c r="D59" i="5"/>
  <c r="C59" i="5"/>
  <c r="E58" i="5"/>
  <c r="D58" i="5"/>
  <c r="C58" i="5"/>
  <c r="E57" i="5"/>
  <c r="D57" i="5"/>
  <c r="C57" i="5"/>
  <c r="E56" i="5"/>
  <c r="D56" i="5"/>
  <c r="C56" i="5"/>
  <c r="E55" i="5"/>
  <c r="D55" i="5"/>
  <c r="C55" i="5"/>
  <c r="E54" i="5"/>
  <c r="D54" i="5"/>
  <c r="C54" i="5"/>
  <c r="E53" i="5"/>
  <c r="D53" i="5"/>
  <c r="C53" i="5"/>
  <c r="E52" i="5"/>
  <c r="D52" i="5"/>
  <c r="C52" i="5"/>
  <c r="E51" i="5"/>
  <c r="D51" i="5"/>
  <c r="C51" i="5"/>
  <c r="E50" i="5"/>
  <c r="D50" i="5"/>
  <c r="C50" i="5"/>
  <c r="E49" i="5"/>
  <c r="D49" i="5"/>
  <c r="C49" i="5"/>
  <c r="E48" i="5"/>
  <c r="D48" i="5"/>
  <c r="C48" i="5"/>
  <c r="E47" i="5"/>
  <c r="D47" i="5"/>
  <c r="C47" i="5"/>
  <c r="E46" i="5"/>
  <c r="D46" i="5"/>
  <c r="C46" i="5"/>
  <c r="E45" i="5"/>
  <c r="D45" i="5"/>
  <c r="C45" i="5"/>
  <c r="E44" i="5"/>
  <c r="D44" i="5"/>
  <c r="C44" i="5"/>
  <c r="E43" i="5"/>
  <c r="D43" i="5"/>
  <c r="C43" i="5"/>
  <c r="E42" i="5"/>
  <c r="D42" i="5"/>
  <c r="C42" i="5"/>
  <c r="E41" i="5"/>
  <c r="D41" i="5"/>
  <c r="C41" i="5"/>
  <c r="E40" i="5"/>
  <c r="D40" i="5"/>
  <c r="C40" i="5"/>
  <c r="E39" i="5"/>
  <c r="D39" i="5"/>
  <c r="C39" i="5"/>
  <c r="E38" i="5"/>
  <c r="D38" i="5"/>
  <c r="C38" i="5"/>
  <c r="E37" i="5"/>
  <c r="D37" i="5"/>
  <c r="C37" i="5"/>
  <c r="E36" i="5"/>
  <c r="D36" i="5"/>
  <c r="C36" i="5"/>
  <c r="E35" i="5"/>
  <c r="D35" i="5"/>
  <c r="C35" i="5"/>
  <c r="E34" i="5"/>
  <c r="D34" i="5"/>
  <c r="C34" i="5"/>
  <c r="E33" i="5"/>
  <c r="D33" i="5"/>
  <c r="C33" i="5"/>
  <c r="E32" i="5"/>
  <c r="D32" i="5"/>
  <c r="C32" i="5"/>
  <c r="E31" i="5"/>
  <c r="D31" i="5"/>
  <c r="C31" i="5"/>
  <c r="E30" i="5"/>
  <c r="D30" i="5"/>
  <c r="C30" i="5"/>
  <c r="E29" i="5"/>
  <c r="D29" i="5"/>
  <c r="C29" i="5"/>
  <c r="E28" i="5"/>
  <c r="D28" i="5"/>
  <c r="C28" i="5"/>
  <c r="E27" i="5"/>
  <c r="D27" i="5"/>
  <c r="C27" i="5"/>
  <c r="E26" i="5"/>
  <c r="D26" i="5"/>
  <c r="C26" i="5"/>
  <c r="E25" i="5"/>
  <c r="D25" i="5"/>
  <c r="C25" i="5"/>
  <c r="E24" i="5"/>
  <c r="D24" i="5"/>
  <c r="C24" i="5"/>
  <c r="E23" i="5"/>
  <c r="D23" i="5"/>
  <c r="C23" i="5"/>
  <c r="E22" i="5"/>
  <c r="D22" i="5"/>
  <c r="C22" i="5"/>
  <c r="E21" i="5"/>
  <c r="D21" i="5"/>
  <c r="C21" i="5"/>
  <c r="E20" i="5"/>
  <c r="D20" i="5"/>
  <c r="C20" i="5"/>
  <c r="E19" i="5"/>
  <c r="D19" i="5"/>
  <c r="C19" i="5"/>
  <c r="E18" i="5"/>
  <c r="D18" i="5"/>
  <c r="C18" i="5"/>
  <c r="E15" i="5"/>
  <c r="D15" i="5"/>
  <c r="C15" i="5"/>
  <c r="E14" i="5"/>
  <c r="D14" i="5"/>
  <c r="C14" i="5"/>
  <c r="E13" i="5"/>
  <c r="D13" i="5"/>
  <c r="C13" i="5"/>
  <c r="E12" i="5"/>
  <c r="D12" i="5"/>
  <c r="C12" i="5"/>
  <c r="E11" i="5"/>
  <c r="D11" i="5"/>
  <c r="C11" i="5"/>
  <c r="E10" i="5"/>
  <c r="D10" i="5"/>
  <c r="C10" i="5"/>
  <c r="E9" i="5"/>
  <c r="D9" i="5"/>
  <c r="C9" i="5"/>
  <c r="E8" i="5"/>
  <c r="D8" i="5"/>
  <c r="C8" i="5"/>
  <c r="E7" i="5"/>
  <c r="D7" i="5"/>
  <c r="C7" i="5"/>
  <c r="E6" i="5"/>
  <c r="D6" i="5"/>
  <c r="C6" i="5"/>
  <c r="D88" i="4"/>
  <c r="C88" i="4"/>
  <c r="D87" i="4"/>
  <c r="C87" i="4"/>
  <c r="D86" i="4"/>
  <c r="C86" i="4"/>
  <c r="D85" i="4"/>
  <c r="C85" i="4"/>
  <c r="D84" i="4"/>
  <c r="C84" i="4"/>
  <c r="D83" i="4"/>
  <c r="C83" i="4"/>
  <c r="D82" i="4"/>
  <c r="C82" i="4"/>
  <c r="D81" i="4"/>
  <c r="C81" i="4"/>
  <c r="D80" i="4"/>
  <c r="C80" i="4"/>
  <c r="D79" i="4"/>
  <c r="C79" i="4"/>
  <c r="D78" i="4"/>
  <c r="C78" i="4"/>
  <c r="D77" i="4"/>
  <c r="C77" i="4"/>
  <c r="D76" i="4"/>
  <c r="C76" i="4"/>
  <c r="D75" i="4"/>
  <c r="C75" i="4"/>
  <c r="D74" i="4"/>
  <c r="C74" i="4"/>
  <c r="D73" i="4"/>
  <c r="C73" i="4"/>
  <c r="D72" i="4"/>
  <c r="C72" i="4"/>
  <c r="D71" i="4"/>
  <c r="C71" i="4"/>
  <c r="D70" i="4"/>
  <c r="C70" i="4"/>
  <c r="D69" i="4"/>
  <c r="C69" i="4"/>
  <c r="D68" i="4"/>
  <c r="C68" i="4"/>
  <c r="D67" i="4"/>
  <c r="C67" i="4"/>
  <c r="D66" i="4"/>
  <c r="C66" i="4"/>
  <c r="D65" i="4"/>
  <c r="C65" i="4"/>
  <c r="D64" i="4"/>
  <c r="C64" i="4"/>
  <c r="D63" i="4"/>
  <c r="C63" i="4"/>
  <c r="D62" i="4"/>
  <c r="C62" i="4"/>
  <c r="D61" i="4"/>
  <c r="C61" i="4"/>
  <c r="D60" i="4"/>
  <c r="C60" i="4"/>
  <c r="D59" i="4"/>
  <c r="C59" i="4"/>
  <c r="D58" i="4"/>
  <c r="C58" i="4"/>
  <c r="D57" i="4"/>
  <c r="C57" i="4"/>
  <c r="D56" i="4"/>
  <c r="C56" i="4"/>
  <c r="D55" i="4"/>
  <c r="C55" i="4"/>
  <c r="D54" i="4"/>
  <c r="C54" i="4"/>
  <c r="D53" i="4"/>
  <c r="C53" i="4"/>
  <c r="D52" i="4"/>
  <c r="C52" i="4"/>
  <c r="D51" i="4"/>
  <c r="C51" i="4"/>
  <c r="D50" i="4"/>
  <c r="C50" i="4"/>
  <c r="D49" i="4"/>
  <c r="C49" i="4"/>
  <c r="D48" i="4"/>
  <c r="C48" i="4"/>
  <c r="D47" i="4"/>
  <c r="C47" i="4"/>
  <c r="D46" i="4"/>
  <c r="C46" i="4"/>
  <c r="D45" i="4"/>
  <c r="C45" i="4"/>
  <c r="D44" i="4"/>
  <c r="C44" i="4"/>
  <c r="D43" i="4"/>
  <c r="C43" i="4"/>
  <c r="D42" i="4"/>
  <c r="C42" i="4"/>
  <c r="D41" i="4"/>
  <c r="C41" i="4"/>
  <c r="D40" i="4"/>
  <c r="C40" i="4"/>
  <c r="D39" i="4"/>
  <c r="C39" i="4"/>
  <c r="D38" i="4"/>
  <c r="C38" i="4"/>
  <c r="D37" i="4"/>
  <c r="C37" i="4"/>
  <c r="D36" i="4"/>
  <c r="C36" i="4"/>
  <c r="D35" i="4"/>
  <c r="C35" i="4"/>
  <c r="D34" i="4"/>
  <c r="C34" i="4"/>
  <c r="D33" i="4"/>
  <c r="C33" i="4"/>
  <c r="D32" i="4"/>
  <c r="C32" i="4"/>
  <c r="D31" i="4"/>
  <c r="C31" i="4"/>
  <c r="D30" i="4"/>
  <c r="C30" i="4"/>
  <c r="D29" i="4"/>
  <c r="C29" i="4"/>
  <c r="D28" i="4"/>
  <c r="C28" i="4"/>
  <c r="D27" i="4"/>
  <c r="C27" i="4"/>
  <c r="D26" i="4"/>
  <c r="C26" i="4"/>
  <c r="D25" i="4"/>
  <c r="C25" i="4"/>
  <c r="D24" i="4"/>
  <c r="C24" i="4"/>
  <c r="D23" i="4"/>
  <c r="C23" i="4"/>
  <c r="D22" i="4"/>
  <c r="C22" i="4"/>
  <c r="D21" i="4"/>
  <c r="C21" i="4"/>
  <c r="D20" i="4"/>
  <c r="C20" i="4"/>
  <c r="D19" i="4"/>
  <c r="C19" i="4"/>
  <c r="D18" i="4"/>
  <c r="C18" i="4"/>
  <c r="D15" i="4"/>
  <c r="C15" i="4"/>
  <c r="D14" i="4"/>
  <c r="C14" i="4"/>
  <c r="D13" i="4"/>
  <c r="C13" i="4"/>
  <c r="D12" i="4"/>
  <c r="C12" i="4"/>
  <c r="D11" i="4"/>
  <c r="C11" i="4"/>
  <c r="D10" i="4"/>
  <c r="C10" i="4"/>
  <c r="D9" i="4"/>
  <c r="C9" i="4"/>
  <c r="D8" i="4"/>
  <c r="C8" i="4"/>
  <c r="D7" i="4"/>
  <c r="C7" i="4"/>
  <c r="E6" i="4"/>
  <c r="D6" i="4"/>
  <c r="C6" i="4"/>
  <c r="D88" i="3"/>
  <c r="C88" i="3"/>
  <c r="D87" i="3"/>
  <c r="C87" i="3"/>
  <c r="D86" i="3"/>
  <c r="C86" i="3"/>
  <c r="D85" i="3"/>
  <c r="C85" i="3"/>
  <c r="D84" i="3"/>
  <c r="C84" i="3"/>
  <c r="D83" i="3"/>
  <c r="C83" i="3"/>
  <c r="D82" i="3"/>
  <c r="C82" i="3"/>
  <c r="D81" i="3"/>
  <c r="C81" i="3"/>
  <c r="D80" i="3"/>
  <c r="C80" i="3"/>
  <c r="D79" i="3"/>
  <c r="C79" i="3"/>
  <c r="D78" i="3"/>
  <c r="C78" i="3"/>
  <c r="D77" i="3"/>
  <c r="C77" i="3"/>
  <c r="D76" i="3"/>
  <c r="C76" i="3"/>
  <c r="D75" i="3"/>
  <c r="C75" i="3"/>
  <c r="D74" i="3"/>
  <c r="C74" i="3"/>
  <c r="D73" i="3"/>
  <c r="C73" i="3"/>
  <c r="D72" i="3"/>
  <c r="C72" i="3"/>
  <c r="D71" i="3"/>
  <c r="C71" i="3"/>
  <c r="D70" i="3"/>
  <c r="C70" i="3"/>
  <c r="D69" i="3"/>
  <c r="C69" i="3"/>
  <c r="D68" i="3"/>
  <c r="C68" i="3"/>
  <c r="D67" i="3"/>
  <c r="C67" i="3"/>
  <c r="D66" i="3"/>
  <c r="C66" i="3"/>
  <c r="D65" i="3"/>
  <c r="C65" i="3"/>
  <c r="D64" i="3"/>
  <c r="C64" i="3"/>
  <c r="D63" i="3"/>
  <c r="C63" i="3"/>
  <c r="D62" i="3"/>
  <c r="C62" i="3"/>
  <c r="D61" i="3"/>
  <c r="C61" i="3"/>
  <c r="D60" i="3"/>
  <c r="C60" i="3"/>
  <c r="D59" i="3"/>
  <c r="C59" i="3"/>
  <c r="D58" i="3"/>
  <c r="C58" i="3"/>
  <c r="D57" i="3"/>
  <c r="C57" i="3"/>
  <c r="D56" i="3"/>
  <c r="C56" i="3"/>
  <c r="D55" i="3"/>
  <c r="C55" i="3"/>
  <c r="D54" i="3"/>
  <c r="C54" i="3"/>
  <c r="D53" i="3"/>
  <c r="C53" i="3"/>
  <c r="D52" i="3"/>
  <c r="C52" i="3"/>
  <c r="D51" i="3"/>
  <c r="C51" i="3"/>
  <c r="D50" i="3"/>
  <c r="C50" i="3"/>
  <c r="D49" i="3"/>
  <c r="C49" i="3"/>
  <c r="D48" i="3"/>
  <c r="C48" i="3"/>
  <c r="D47" i="3"/>
  <c r="C47" i="3"/>
  <c r="D46" i="3"/>
  <c r="C46" i="3"/>
  <c r="D45" i="3"/>
  <c r="C45" i="3"/>
  <c r="D44" i="3"/>
  <c r="C44" i="3"/>
  <c r="D43" i="3"/>
  <c r="C43" i="3"/>
  <c r="D42" i="3"/>
  <c r="C42" i="3"/>
  <c r="D41" i="3"/>
  <c r="C41" i="3"/>
  <c r="D40" i="3"/>
  <c r="C40" i="3"/>
  <c r="D39" i="3"/>
  <c r="C39" i="3"/>
  <c r="D38" i="3"/>
  <c r="C38" i="3"/>
  <c r="D37" i="3"/>
  <c r="C37" i="3"/>
  <c r="D36" i="3"/>
  <c r="C36" i="3"/>
  <c r="D35" i="3"/>
  <c r="C35" i="3"/>
  <c r="D34" i="3"/>
  <c r="C34" i="3"/>
  <c r="D33" i="3"/>
  <c r="C33" i="3"/>
  <c r="D32" i="3"/>
  <c r="C32" i="3"/>
  <c r="D31" i="3"/>
  <c r="C31" i="3"/>
  <c r="D30" i="3"/>
  <c r="C30" i="3"/>
  <c r="D29" i="3"/>
  <c r="C29" i="3"/>
  <c r="D28" i="3"/>
  <c r="C28" i="3"/>
  <c r="D27" i="3"/>
  <c r="C27" i="3"/>
  <c r="D26" i="3"/>
  <c r="C26" i="3"/>
  <c r="D25" i="3"/>
  <c r="C25" i="3"/>
  <c r="D24" i="3"/>
  <c r="C24" i="3"/>
  <c r="D23" i="3"/>
  <c r="C23" i="3"/>
  <c r="D22" i="3"/>
  <c r="C22" i="3"/>
  <c r="D21" i="3"/>
  <c r="C21" i="3"/>
  <c r="D20" i="3"/>
  <c r="C20" i="3"/>
  <c r="D19" i="3"/>
  <c r="C19" i="3"/>
  <c r="D18" i="3"/>
  <c r="C18" i="3"/>
  <c r="D15" i="3"/>
  <c r="C15" i="3"/>
  <c r="D14" i="3"/>
  <c r="C14" i="3"/>
  <c r="D13" i="3"/>
  <c r="C13" i="3"/>
  <c r="D12" i="3"/>
  <c r="C12" i="3"/>
  <c r="D11" i="3"/>
  <c r="C11" i="3"/>
  <c r="D10" i="3"/>
  <c r="C10" i="3"/>
  <c r="D9" i="3"/>
  <c r="C9" i="3"/>
  <c r="D8" i="3"/>
  <c r="C8" i="3"/>
  <c r="D7" i="3"/>
  <c r="C7" i="3"/>
  <c r="E6" i="3"/>
  <c r="D6" i="3"/>
  <c r="C6" i="3"/>
  <c r="D100" i="2"/>
  <c r="D99" i="2"/>
  <c r="D98" i="2"/>
  <c r="D97" i="2"/>
  <c r="D96" i="2"/>
  <c r="D95" i="2"/>
  <c r="D94" i="2"/>
  <c r="D93" i="2"/>
  <c r="D92" i="2"/>
  <c r="D89" i="2"/>
  <c r="D88" i="2"/>
  <c r="C88" i="2"/>
  <c r="D87" i="2"/>
  <c r="C87" i="2"/>
  <c r="D86" i="2"/>
  <c r="C86" i="2"/>
  <c r="D85" i="2"/>
  <c r="C85" i="2"/>
  <c r="D84" i="2"/>
  <c r="C84" i="2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E6" i="2"/>
  <c r="D6" i="2"/>
  <c r="C6" i="2"/>
  <c r="S83" i="1"/>
  <c r="G83" i="1"/>
  <c r="S12" i="8" s="1"/>
  <c r="F83" i="1"/>
  <c r="S11" i="8" s="1"/>
  <c r="E83" i="1"/>
  <c r="S10" i="8" s="1"/>
  <c r="D83" i="1"/>
  <c r="S9" i="8" s="1"/>
  <c r="S82" i="1"/>
  <c r="S81" i="1"/>
  <c r="S80" i="1"/>
  <c r="S79" i="1"/>
  <c r="S78" i="1"/>
  <c r="S75" i="1"/>
  <c r="G75" i="1"/>
  <c r="R12" i="8" s="1"/>
  <c r="F75" i="1"/>
  <c r="R11" i="8" s="1"/>
  <c r="E75" i="1"/>
  <c r="R10" i="8" s="1"/>
  <c r="D75" i="1"/>
  <c r="R9" i="8" s="1"/>
  <c r="S74" i="1"/>
  <c r="S73" i="1"/>
  <c r="S72" i="1"/>
  <c r="Q12" i="8"/>
  <c r="Q11" i="8"/>
  <c r="Q10" i="8"/>
  <c r="S69" i="1"/>
  <c r="S68" i="1"/>
  <c r="S67" i="1"/>
  <c r="S66" i="1"/>
  <c r="S65" i="1"/>
  <c r="S64" i="1"/>
  <c r="S63" i="1"/>
  <c r="S62" i="1"/>
  <c r="S61" i="1"/>
  <c r="S59" i="1"/>
  <c r="S56" i="1"/>
  <c r="G56" i="1"/>
  <c r="P12" i="8" s="1"/>
  <c r="F56" i="1"/>
  <c r="P11" i="8" s="1"/>
  <c r="E56" i="1"/>
  <c r="P10" i="8" s="1"/>
  <c r="D56" i="1"/>
  <c r="P9" i="8" s="1"/>
  <c r="S55" i="1"/>
  <c r="S54" i="1"/>
  <c r="S53" i="1"/>
  <c r="S52" i="1"/>
  <c r="S49" i="1"/>
  <c r="G49" i="1"/>
  <c r="O12" i="8" s="1"/>
  <c r="F49" i="1"/>
  <c r="O11" i="8" s="1"/>
  <c r="E49" i="1"/>
  <c r="O10" i="8" s="1"/>
  <c r="D49" i="1"/>
  <c r="O9" i="8" s="1"/>
  <c r="S48" i="1"/>
  <c r="K48" i="1"/>
  <c r="S47" i="1"/>
  <c r="S46" i="1"/>
  <c r="K46" i="1"/>
  <c r="S45" i="1"/>
  <c r="S44" i="1"/>
  <c r="K44" i="1"/>
  <c r="S43" i="1"/>
  <c r="S39" i="1"/>
  <c r="S38" i="1"/>
  <c r="S37" i="1"/>
  <c r="K37" i="1"/>
  <c r="S36" i="1"/>
  <c r="K36" i="1"/>
  <c r="S35" i="1"/>
  <c r="K35" i="1"/>
  <c r="S34" i="1"/>
  <c r="K34" i="1"/>
  <c r="S33" i="1"/>
  <c r="S32" i="1"/>
  <c r="K32" i="1"/>
  <c r="S31" i="1"/>
  <c r="K31" i="1"/>
  <c r="S26" i="1"/>
  <c r="K26" i="1"/>
  <c r="S25" i="1"/>
  <c r="K25" i="1"/>
  <c r="S24" i="1"/>
  <c r="S23" i="1"/>
  <c r="K23" i="1"/>
  <c r="S22" i="1"/>
  <c r="S21" i="1"/>
  <c r="K21" i="1"/>
  <c r="S20" i="1"/>
  <c r="S19" i="1"/>
  <c r="S15" i="1"/>
  <c r="S14" i="1"/>
  <c r="K14" i="1"/>
  <c r="S13" i="1"/>
  <c r="K13" i="1"/>
  <c r="S12" i="1"/>
  <c r="K12" i="1"/>
  <c r="S11" i="1"/>
  <c r="K11" i="1"/>
  <c r="S10" i="1"/>
  <c r="K10" i="1"/>
  <c r="S9" i="1"/>
  <c r="K9" i="1"/>
  <c r="S8" i="1"/>
  <c r="K8" i="1"/>
  <c r="S7" i="1"/>
  <c r="K7" i="1"/>
  <c r="S6" i="1"/>
  <c r="S5" i="1"/>
  <c r="K5" i="1"/>
  <c r="K24" i="1" l="1"/>
  <c r="K33" i="1"/>
  <c r="K38" i="1"/>
  <c r="K47" i="1"/>
  <c r="T60" i="1"/>
  <c r="K19" i="1"/>
  <c r="D20" i="12"/>
  <c r="K20" i="1"/>
  <c r="B21" i="10"/>
  <c r="C22" i="10"/>
  <c r="K15" i="1"/>
  <c r="D23" i="10"/>
  <c r="T72" i="1"/>
  <c r="B23" i="10"/>
  <c r="J27" i="8"/>
  <c r="D18" i="12"/>
  <c r="J27" i="9"/>
  <c r="F21" i="10"/>
  <c r="H21" i="10" s="1"/>
  <c r="D17" i="12"/>
  <c r="D24" i="10"/>
  <c r="J33" i="9"/>
  <c r="T62" i="1"/>
  <c r="T20" i="1"/>
  <c r="J32" i="9"/>
  <c r="J29" i="9"/>
  <c r="D22" i="10"/>
  <c r="Z23" i="1"/>
  <c r="AA23" i="1" s="1"/>
  <c r="AA28" i="1" s="1"/>
  <c r="J28" i="9"/>
  <c r="D25" i="10"/>
  <c r="Z24" i="1"/>
  <c r="AA24" i="1" s="1"/>
  <c r="J75" i="1"/>
  <c r="J83" i="1"/>
  <c r="J33" i="8" s="1"/>
  <c r="E21" i="10"/>
  <c r="G27" i="10"/>
  <c r="J30" i="9"/>
  <c r="T69" i="1"/>
  <c r="J31" i="9"/>
  <c r="D21" i="10"/>
  <c r="J32" i="8"/>
  <c r="B27" i="10"/>
  <c r="F23" i="10"/>
  <c r="G25" i="10"/>
  <c r="G8" i="10" s="1"/>
  <c r="Z21" i="1"/>
  <c r="AA21" i="1" s="1"/>
  <c r="B28" i="10"/>
  <c r="J49" i="1"/>
  <c r="A10" i="12" s="1"/>
  <c r="T8" i="1"/>
  <c r="T55" i="1"/>
  <c r="T83" i="1"/>
  <c r="T5" i="1"/>
  <c r="T52" i="1"/>
  <c r="T73" i="1"/>
  <c r="G28" i="10"/>
  <c r="K6" i="1"/>
  <c r="T12" i="1"/>
  <c r="T15" i="1"/>
  <c r="K22" i="1"/>
  <c r="T35" i="1"/>
  <c r="K39" i="1"/>
  <c r="T45" i="1"/>
  <c r="T63" i="1"/>
  <c r="B20" i="10"/>
  <c r="G21" i="10"/>
  <c r="J56" i="1"/>
  <c r="C21" i="10"/>
  <c r="T14" i="1"/>
  <c r="T37" i="1"/>
  <c r="T47" i="1"/>
  <c r="T49" i="1"/>
  <c r="T31" i="1"/>
  <c r="T9" i="1"/>
  <c r="T25" i="1"/>
  <c r="T32" i="1"/>
  <c r="T67" i="1"/>
  <c r="T74" i="1"/>
  <c r="T78" i="1"/>
  <c r="T82" i="1"/>
  <c r="J26" i="8"/>
  <c r="J26" i="9"/>
  <c r="C20" i="10"/>
  <c r="G26" i="10"/>
  <c r="Z22" i="1"/>
  <c r="AA22" i="1" s="1"/>
  <c r="T21" i="1"/>
  <c r="T38" i="1"/>
  <c r="T48" i="1"/>
  <c r="T75" i="1"/>
  <c r="T6" i="1"/>
  <c r="T22" i="1"/>
  <c r="T39" i="1"/>
  <c r="T53" i="1"/>
  <c r="D20" i="10"/>
  <c r="G24" i="10"/>
  <c r="C23" i="10"/>
  <c r="T11" i="1"/>
  <c r="T34" i="1"/>
  <c r="G23" i="10"/>
  <c r="T13" i="1"/>
  <c r="T19" i="1"/>
  <c r="T36" i="1"/>
  <c r="T46" i="1"/>
  <c r="T64" i="1"/>
  <c r="T79" i="1"/>
  <c r="Q9" i="8"/>
  <c r="J9" i="8" s="1"/>
  <c r="J28" i="8"/>
  <c r="E20" i="10"/>
  <c r="J20" i="10" s="1"/>
  <c r="F22" i="10"/>
  <c r="T24" i="1"/>
  <c r="T44" i="1"/>
  <c r="T59" i="1"/>
  <c r="T66" i="1"/>
  <c r="T81" i="1"/>
  <c r="T10" i="1"/>
  <c r="T26" i="1"/>
  <c r="T33" i="1"/>
  <c r="J12" i="9"/>
  <c r="G22" i="10"/>
  <c r="AB28" i="1"/>
  <c r="J30" i="8"/>
  <c r="T61" i="1"/>
  <c r="T68" i="1"/>
  <c r="T7" i="1"/>
  <c r="T23" i="1"/>
  <c r="T43" i="1"/>
  <c r="T54" i="1"/>
  <c r="T56" i="1"/>
  <c r="T65" i="1"/>
  <c r="T80" i="1"/>
  <c r="G20" i="10"/>
  <c r="K20" i="10" s="1"/>
  <c r="D19" i="12"/>
  <c r="AC21" i="1"/>
  <c r="AC28" i="1" s="1"/>
  <c r="E3" i="3"/>
  <c r="E3" i="4"/>
  <c r="E3" i="6"/>
  <c r="E3" i="7"/>
  <c r="J14" i="9"/>
  <c r="J13" i="9"/>
  <c r="J11" i="9"/>
  <c r="E3" i="2"/>
  <c r="E3" i="5"/>
  <c r="J9" i="9"/>
  <c r="J10" i="9"/>
  <c r="J11" i="8"/>
  <c r="J14" i="8"/>
  <c r="J13" i="8"/>
  <c r="K21" i="10"/>
  <c r="J12" i="8"/>
  <c r="J10" i="8"/>
  <c r="K45" i="1"/>
  <c r="J31" i="8"/>
  <c r="B22" i="10"/>
  <c r="B26" i="10"/>
  <c r="K80" i="1"/>
  <c r="K72" i="1"/>
  <c r="E22" i="10"/>
  <c r="E23" i="10"/>
  <c r="J23" i="10" s="1"/>
  <c r="J35" i="9" l="1"/>
  <c r="J21" i="10"/>
  <c r="F24" i="10"/>
  <c r="K24" i="10" s="1"/>
  <c r="D23" i="12"/>
  <c r="K49" i="1"/>
  <c r="F26" i="10"/>
  <c r="I26" i="10" s="1"/>
  <c r="D21" i="12"/>
  <c r="I22" i="10"/>
  <c r="K23" i="10"/>
  <c r="D24" i="12"/>
  <c r="I21" i="10"/>
  <c r="K74" i="1"/>
  <c r="K79" i="1"/>
  <c r="E26" i="10"/>
  <c r="K53" i="1"/>
  <c r="E25" i="10"/>
  <c r="Z28" i="1"/>
  <c r="E24" i="10"/>
  <c r="E27" i="10"/>
  <c r="K65" i="1"/>
  <c r="D22" i="12"/>
  <c r="D25" i="12"/>
  <c r="K60" i="1"/>
  <c r="C16" i="12"/>
  <c r="B19" i="12"/>
  <c r="B17" i="12"/>
  <c r="B20" i="12"/>
  <c r="B21" i="12"/>
  <c r="B18" i="12"/>
  <c r="B25" i="12"/>
  <c r="B24" i="12"/>
  <c r="B23" i="12"/>
  <c r="B22" i="12"/>
  <c r="K22" i="10"/>
  <c r="I23" i="10"/>
  <c r="J22" i="10"/>
  <c r="I20" i="10"/>
  <c r="H20" i="10"/>
  <c r="B25" i="10"/>
  <c r="B16" i="12"/>
  <c r="F25" i="10"/>
  <c r="J25" i="10" s="1"/>
  <c r="K81" i="1"/>
  <c r="K69" i="1"/>
  <c r="K62" i="1"/>
  <c r="E28" i="10"/>
  <c r="B24" i="10"/>
  <c r="F27" i="10"/>
  <c r="J27" i="10" s="1"/>
  <c r="J29" i="8"/>
  <c r="J35" i="8" s="1"/>
  <c r="K63" i="1"/>
  <c r="K56" i="1"/>
  <c r="K54" i="1"/>
  <c r="K52" i="1"/>
  <c r="K78" i="1"/>
  <c r="K68" i="1"/>
  <c r="K61" i="1"/>
  <c r="E10" i="12"/>
  <c r="K64" i="1"/>
  <c r="C24" i="10"/>
  <c r="K83" i="1"/>
  <c r="K66" i="1"/>
  <c r="K59" i="1"/>
  <c r="K55" i="1"/>
  <c r="K82" i="1"/>
  <c r="K67" i="1"/>
  <c r="F28" i="10"/>
  <c r="K75" i="1"/>
  <c r="K73" i="1"/>
  <c r="A8" i="10"/>
  <c r="I10" i="10" s="1"/>
  <c r="C8" i="10"/>
  <c r="H22" i="10"/>
  <c r="H23" i="10"/>
  <c r="H26" i="10" l="1"/>
  <c r="K26" i="10"/>
  <c r="I24" i="10"/>
  <c r="H24" i="10"/>
  <c r="J26" i="10"/>
  <c r="J24" i="10"/>
  <c r="C10" i="12"/>
  <c r="G10" i="12"/>
  <c r="G12" i="12"/>
  <c r="I28" i="10"/>
  <c r="K28" i="10"/>
  <c r="H28" i="10"/>
  <c r="J28" i="10"/>
  <c r="I27" i="10"/>
  <c r="K27" i="10"/>
  <c r="H25" i="10"/>
  <c r="H27" i="10"/>
  <c r="I25" i="10"/>
  <c r="K25" i="10"/>
  <c r="E8" i="10"/>
  <c r="E10" i="10"/>
  <c r="A15" i="10" s="1"/>
  <c r="G12" i="10"/>
  <c r="C28" i="12" l="1"/>
  <c r="I8" i="10"/>
  <c r="C10" i="10"/>
  <c r="G10" i="10"/>
  <c r="A10" i="10"/>
  <c r="C17" i="12"/>
  <c r="A16" i="10" l="1"/>
  <c r="A12" i="10"/>
  <c r="C19" i="12"/>
  <c r="C23" i="12"/>
  <c r="C22" i="12"/>
  <c r="C25" i="12"/>
  <c r="C20" i="12"/>
  <c r="C18" i="12"/>
  <c r="C24" i="12"/>
  <c r="C21" i="12"/>
  <c r="C12" i="10" l="1"/>
  <c r="E12" i="10"/>
</calcChain>
</file>

<file path=xl/sharedStrings.xml><?xml version="1.0" encoding="utf-8"?>
<sst xmlns="http://schemas.openxmlformats.org/spreadsheetml/2006/main" count="803" uniqueCount="432">
  <si>
    <t>Versión</t>
  </si>
  <si>
    <t>Fase</t>
  </si>
  <si>
    <t>Actividad</t>
  </si>
  <si>
    <t>Minutos Estimados</t>
  </si>
  <si>
    <t>Minutos Reales</t>
  </si>
  <si>
    <t>Líder/SM</t>
  </si>
  <si>
    <t>Product Owner</t>
  </si>
  <si>
    <t>Planif.</t>
  </si>
  <si>
    <t>Desarrollo</t>
  </si>
  <si>
    <t>Cambios</t>
  </si>
  <si>
    <t>Calidad</t>
  </si>
  <si>
    <t>Total</t>
  </si>
  <si>
    <t>Acumulado</t>
  </si>
  <si>
    <t>Semana
Estimada</t>
  </si>
  <si>
    <t>Semana
Fin</t>
  </si>
  <si>
    <t>Estado</t>
  </si>
  <si>
    <t>Asignación de roles</t>
  </si>
  <si>
    <t>Lanzamiento</t>
  </si>
  <si>
    <t>Asignar equipos y roles</t>
  </si>
  <si>
    <t>Completada</t>
  </si>
  <si>
    <t>Rol</t>
  </si>
  <si>
    <t>Persona asignada</t>
  </si>
  <si>
    <t>Columnas esfuerzo</t>
  </si>
  <si>
    <t>Definir proceso de reuniones</t>
  </si>
  <si>
    <t>Líder / Scrum Master</t>
  </si>
  <si>
    <t>Santi</t>
  </si>
  <si>
    <t>Estim. D / Real M</t>
  </si>
  <si>
    <t>Realizar Estándar de Documentación</t>
  </si>
  <si>
    <t>Joaquin</t>
  </si>
  <si>
    <t>Estim. E / Real N</t>
  </si>
  <si>
    <t>Realizar Estándar de Agendas</t>
  </si>
  <si>
    <t>Planificación</t>
  </si>
  <si>
    <t>Pablo</t>
  </si>
  <si>
    <t>Estim. F / Real O</t>
  </si>
  <si>
    <t>Realizar Estándar de Actas</t>
  </si>
  <si>
    <t>Victor</t>
  </si>
  <si>
    <t>Estim. G / Real P</t>
  </si>
  <si>
    <t>Definir Ciclo de Vida a aplicar (actividades)</t>
  </si>
  <si>
    <t>Carlos</t>
  </si>
  <si>
    <t>Estim. H / Real Q</t>
  </si>
  <si>
    <t>Definir outputs y plantillas del CV</t>
  </si>
  <si>
    <t>Miguel</t>
  </si>
  <si>
    <t>Estim. I / Real R</t>
  </si>
  <si>
    <t>Definir Entorno de Desarrollo</t>
  </si>
  <si>
    <t>Celdas amarillas: persona asignada. El orden de columnas es el de D4:I4 y M4:R4.</t>
  </si>
  <si>
    <t>Estim. U / Real V</t>
  </si>
  <si>
    <t>Configurar Entorno de Desarrollo</t>
  </si>
  <si>
    <t>Definir Estándar de Codificación</t>
  </si>
  <si>
    <t>Horas</t>
  </si>
  <si>
    <t>Introducir datos de Planificación/Monitorización S1 (esfuerzo real / semana)</t>
  </si>
  <si>
    <t>M&amp;M (10%)</t>
  </si>
  <si>
    <t>Minutos</t>
  </si>
  <si>
    <t>Requisitos</t>
  </si>
  <si>
    <t>Obtener Historias de Usuario (US)</t>
  </si>
  <si>
    <t>Describir las US según plantilla (Como/Quiero/Para + criterios de aceptación)</t>
  </si>
  <si>
    <t>Completar campos de US para puntos de función</t>
  </si>
  <si>
    <t>Elaborar Product Backlog priorizado</t>
  </si>
  <si>
    <t>Poner en línea base las US (GCS)</t>
  </si>
  <si>
    <t>Introducir datos de Planificación/Monitorización(esfuerzo real / semana) S3</t>
  </si>
  <si>
    <t>Registrar datos de calidad S3</t>
  </si>
  <si>
    <t>Estrategia</t>
  </si>
  <si>
    <t>Estimar Puntos de Función sobre las US</t>
  </si>
  <si>
    <t>Calcular esfuerzo (horas)</t>
  </si>
  <si>
    <t>Establecer estrategia de desarrollo (US Sprint 1 y Sprint 2)</t>
  </si>
  <si>
    <t>Elaborar documento de Estrategia</t>
  </si>
  <si>
    <t>Inspeccionar outputs de Estrategia (Q)</t>
  </si>
  <si>
    <t>Poner en línea base Estrategia y Sprint Backlog (GCS)</t>
  </si>
  <si>
    <t>Introducir datos de Planificación/Monitorización S4 (esfuerzo real / semana)</t>
  </si>
  <si>
    <t>Registrar datos de calidad S4</t>
  </si>
  <si>
    <t>Realizar Plan de Gestión de Configuración (PGCS)</t>
  </si>
  <si>
    <t>Realizar Plan de Proyecto del Sprint 1</t>
  </si>
  <si>
    <t>Realizar Diagrama de Gantt del Sprint 1</t>
  </si>
  <si>
    <t>Inspeccionar planes (Q) y poner en línea base (GCS)</t>
  </si>
  <si>
    <t>Introducir datos de Planificación/Monitorización S5 (esfuerzo real / semana)</t>
  </si>
  <si>
    <t>Diseño</t>
  </si>
  <si>
    <t>Realizar diagramas de Casos de Uso</t>
  </si>
  <si>
    <t>Realizar modelo Entidad/Relación y BBDD</t>
  </si>
  <si>
    <t>Diseñar pantallas</t>
  </si>
  <si>
    <t>Inspeccionar diseño (Q) y poner en línea base (GCS)</t>
  </si>
  <si>
    <t>Introducir datos de Planificación/Monitorización S6 (esfuerzo real / semana, US)</t>
  </si>
  <si>
    <t>Implementación</t>
  </si>
  <si>
    <t>Implementar BBDD</t>
  </si>
  <si>
    <t>Implementar pantallas</t>
  </si>
  <si>
    <t>Implementar US: Alta Vehículo</t>
  </si>
  <si>
    <t>Implementar US: Marcas</t>
  </si>
  <si>
    <t>Implementar US: Almacén</t>
  </si>
  <si>
    <t>Implementar US: Desplegables (Gamma, Marchas, Techos, Puertas)</t>
  </si>
  <si>
    <t>Implementar US: Listar coches (filtrado)</t>
  </si>
  <si>
    <t>Integrar historias de usuario del sprint</t>
  </si>
  <si>
    <t>Inspeccionar código (Q) y poner en línea base (GCS)</t>
  </si>
  <si>
    <t>Introducir datos de Planificación/Monitorización S7 (esfuerzo real / semana, US implementadas)</t>
  </si>
  <si>
    <t>Pruebas</t>
  </si>
  <si>
    <t>Definir casos de prueba unitarios y de aceptación por US</t>
  </si>
  <si>
    <t>Introducir datos de Planificación/Monitorización S8 (esfuerzo real / semana, US)</t>
  </si>
  <si>
    <t>Retrospectiva</t>
  </si>
  <si>
    <t>Realizar informe de retrospectiva del Sprint 1</t>
  </si>
  <si>
    <t>Evaluar roles y equipo del Sprint 1</t>
  </si>
  <si>
    <t>Revisar productos y procesos; dificultades, PF y PD</t>
  </si>
  <si>
    <t>Retrospectiva STARFISH (Keep / More / Start / Stop / Less)</t>
  </si>
  <si>
    <t>Introducir datos de Planificación/Monitorización S9</t>
  </si>
  <si>
    <t>Lecciones aprendidas y mejoras al proceso</t>
  </si>
  <si>
    <t>Lista de tareas de Líder / Scrum Master</t>
  </si>
  <si>
    <t>IMPORTANTE</t>
  </si>
  <si>
    <t>Total min. reales</t>
  </si>
  <si>
    <t>¡ NO EDITAR ESTA PÁGINA ! Se genera automaticamente</t>
  </si>
  <si>
    <t>Esfuerzo
(minutos reales)</t>
  </si>
  <si>
    <t>Lista de tareas de Product Owner</t>
  </si>
  <si>
    <t>Lista de tareas de Planificación</t>
  </si>
  <si>
    <t>Lista de tareas de Desarrollo</t>
  </si>
  <si>
    <t>Lista de tareas de Cambios</t>
  </si>
  <si>
    <t>Lista de tareas de Calidad</t>
  </si>
  <si>
    <t>Carga de horas estimadas por rol/semana</t>
  </si>
  <si>
    <t>Carga de horas estimadas por fase</t>
  </si>
  <si>
    <t>Carga de horas reales por rol/semana</t>
  </si>
  <si>
    <t>Carga de horas reales por fase</t>
  </si>
  <si>
    <t>Análisis de Valor Ganado (EVM) por semana</t>
  </si>
  <si>
    <t>Unidad de medida: horas de esfuerzo del equipo. PV y EV usan minutos estimados (Plan!I); AC usa minutos reales totales (Plan!Q).</t>
  </si>
  <si>
    <t>Semana de corte</t>
  </si>
  <si>
    <t>Celda editable: cambia este número (1-9) para ver los indicadores a esa semana. Por defecto usa la última Semana Fin informada.</t>
  </si>
  <si>
    <t>El valor ganado (EV) solo cuenta actividades con Estado = "Completada". Las "Retrasada" o sin estado no aportan EV (sí pueden aportar AC si tienen minutos reales y Semana Fin).</t>
  </si>
  <si>
    <t>Indicadores en la semana de corte</t>
  </si>
  <si>
    <t>BAC (horas plan total)</t>
  </si>
  <si>
    <t>PV acumulado</t>
  </si>
  <si>
    <t>EV acumulado</t>
  </si>
  <si>
    <t>AC acumulado</t>
  </si>
  <si>
    <t>% completado (EV/BAC)</t>
  </si>
  <si>
    <t>SV (EV − PV)</t>
  </si>
  <si>
    <t>CV (EV − AC)</t>
  </si>
  <si>
    <t>SPI (EV / PV)</t>
  </si>
  <si>
    <t>CPI (EV / AC)</t>
  </si>
  <si>
    <t>% gastado (AC/BAC)</t>
  </si>
  <si>
    <t>EAC (BAC / CPI)</t>
  </si>
  <si>
    <t>ETC (EAC − AC)</t>
  </si>
  <si>
    <t>VAC (BAC − EAC)</t>
  </si>
  <si>
    <t>% planificado (PV/BAC)</t>
  </si>
  <si>
    <t>Lectura rápida</t>
  </si>
  <si>
    <t>Detalle por semana</t>
  </si>
  <si>
    <t>Semana</t>
  </si>
  <si>
    <t>PV semanal (h)</t>
  </si>
  <si>
    <t>EV semanal (h)</t>
  </si>
  <si>
    <t>AC semanal (h)</t>
  </si>
  <si>
    <t>PV acum. (h)</t>
  </si>
  <si>
    <t>EV acum. (h)</t>
  </si>
  <si>
    <t>AC acum. (h)</t>
  </si>
  <si>
    <t>SV (h)</t>
  </si>
  <si>
    <t>CV (h)</t>
  </si>
  <si>
    <t>SPI</t>
  </si>
  <si>
    <t>CPI</t>
  </si>
  <si>
    <t>Definiciones</t>
  </si>
  <si>
    <t>PV — Valor planificado</t>
  </si>
  <si>
    <t>Esfuerzo estimado de las actividades cuya Semana Estimada es esa semana (o ≤ semana en el acumulado).</t>
  </si>
  <si>
    <t>EV — Valor ganado</t>
  </si>
  <si>
    <t>Esfuerzo estimado de las actividades Completadas cuya Semana Fin es esa semana (o ≤ semana en el acumulado).</t>
  </si>
  <si>
    <t>AC — Coste real</t>
  </si>
  <si>
    <t>Esfuerzo real (Plan!Q, ya incluye a todos los roles, incluido Líder/SM y Product Owner) de actividades con Semana Fin en esa semana (o ≤ semana).</t>
  </si>
  <si>
    <t>SV / SPI</t>
  </si>
  <si>
    <t>Variación e índice de cronograma. SV &lt; 0 o SPI &lt; 1 ⇒ retraso.</t>
  </si>
  <si>
    <t>CV / CPI</t>
  </si>
  <si>
    <t>Variación e índice de coste/esfuerzo. CV &lt; 0 o CPI &lt; 1 ⇒ sobrecoste de esfuerzo.</t>
  </si>
  <si>
    <t>BAC / EAC / ETC / VAC</t>
  </si>
  <si>
    <t>Presupuesto total; estimación a conclusión (BAC/CPI); esfuerzo que falta (EAC−AC); variación a conclusión (BAC−EAC).</t>
  </si>
  <si>
    <t>Plantilla de historias de usuario y seguimiento para burndown</t>
  </si>
  <si>
    <t>Rellena o edita las historias. El burndown se calcula solo: una historia deja de contar como pendiente cuando Estado = Hecha y tiene Semana fin. Las celdas amarillas son de entrada.</t>
  </si>
  <si>
    <t>ID</t>
  </si>
  <si>
    <t>Épica</t>
  </si>
  <si>
    <t>Historia de usuario</t>
  </si>
  <si>
    <t>Criterios de aceptación</t>
  </si>
  <si>
    <t>Prioridad</t>
  </si>
  <si>
    <t>Semana plan</t>
  </si>
  <si>
    <t>Semana fin</t>
  </si>
  <si>
    <t>Responsable</t>
  </si>
  <si>
    <t>Notas</t>
  </si>
  <si>
    <t>US-01</t>
  </si>
  <si>
    <t>Catálogo</t>
  </si>
  <si>
    <t>Como responsable del almacén, quiero registrar y consultar almacenes para ubicar los vehículos.</t>
  </si>
  <si>
    <t>Puedo crear, editar y listar almacenes. Los datos se persisten.</t>
  </si>
  <si>
    <t>Alta</t>
  </si>
  <si>
    <t>Hecha</t>
  </si>
  <si>
    <t>Cambios / Desarrollo</t>
  </si>
  <si>
    <t>US-02</t>
  </si>
  <si>
    <t>Como gestor, quiero mantener las marcas de vehículos para clasificar el stock.</t>
  </si>
  <si>
    <t>Alta/edición de marcas. La marca aparece en el alta de vehículo.</t>
  </si>
  <si>
    <t>En curso</t>
  </si>
  <si>
    <t>Planificación / Calidad</t>
  </si>
  <si>
    <t>US-03</t>
  </si>
  <si>
    <t>Como gestor, quiero dar de alta un vehículo con sus datos principales para incorporarlo al inventario.</t>
  </si>
  <si>
    <t>Formulario de alta válido. El vehículo queda listado. Campos obligatorios validados.</t>
  </si>
  <si>
    <t>US-04</t>
  </si>
  <si>
    <t>Configuración</t>
  </si>
  <si>
    <t>Como gestor, quiero elegir la gamma del vehículo en un desplegable para no escribirla a mano.</t>
  </si>
  <si>
    <t>Desplegable con gammas vigentes. Valor guardado en el vehículo.</t>
  </si>
  <si>
    <t>Media</t>
  </si>
  <si>
    <t>Pendiente</t>
  </si>
  <si>
    <t>US-05</t>
  </si>
  <si>
    <t>Como gestor, quiero seleccionar el tipo de marchas desde un desplegable al dar de alta el vehículo.</t>
  </si>
  <si>
    <t>Desplegable operativo y persistido.</t>
  </si>
  <si>
    <t>US-06</t>
  </si>
  <si>
    <t>Como gestor, quiero indicar el tipo de techo mediante un desplegable.</t>
  </si>
  <si>
    <t>US-07</t>
  </si>
  <si>
    <t>Como gestor, quiero indicar el número o tipo de puertas mediante un desplegable.</t>
  </si>
  <si>
    <t>US-08</t>
  </si>
  <si>
    <t>Consulta</t>
  </si>
  <si>
    <t>Como usuario, quiero listar los coches y filtrarlos para encontrar un vehículo concreto.</t>
  </si>
  <si>
    <t>Listado con filtros combinables. Resultados coherentes con el alta.</t>
  </si>
  <si>
    <t>US-09</t>
  </si>
  <si>
    <t>Como equipo, queremos pruebas unitarias de las historias implementadas para asegurar el comportamiento.</t>
  </si>
  <si>
    <t>PU ejecutadas y registradas sobre las historias Hechas.</t>
  </si>
  <si>
    <t>Todos</t>
  </si>
  <si>
    <t>US-10</t>
  </si>
  <si>
    <t>Como equipo, queremos pruebas de integración y de sistema para validar el flujo completo.</t>
  </si>
  <si>
    <t>PI y PS definidas y ejecutadas. Defectos críticos cerrados.</t>
  </si>
  <si>
    <t>US-11</t>
  </si>
  <si>
    <t>US-12</t>
  </si>
  <si>
    <t>US-13</t>
  </si>
  <si>
    <t>US-14</t>
  </si>
  <si>
    <t>US-15</t>
  </si>
  <si>
    <t>US-16</t>
  </si>
  <si>
    <t>US-17</t>
  </si>
  <si>
    <t>US-18</t>
  </si>
  <si>
    <t>US-19</t>
  </si>
  <si>
    <t>US-20</t>
  </si>
  <si>
    <t>TOTAL</t>
  </si>
  <si>
    <t>Las US de esta hoja son el Product Backlog (fase Requisitos del CV). Al terminar: inspeccionar (Q) y poner en línea base (GCS).</t>
  </si>
  <si>
    <t>1. Añade o edita historias en las filas amarillas (hay 10 filas extra vacías; puedes insertar más copiando una fila de datos).</t>
  </si>
  <si>
    <t>3. Cuando una historia termina, pon Estado = Hecha y la Semana fin (1-9). En ese momento las horas restantes pasan a 0 y el burndown baja.</t>
  </si>
  <si>
    <t>4. No hace falta tocar la hoja Burndown: se recalcula sola. Si insertas filas, amplía los rangos de las fórmulas del burndown para incluirlas.</t>
  </si>
  <si>
    <t>5. Las historias prefijadas salen del alcance de codificación/pruebas del Plan (almacén, marcas, alta, desplegables, listado y pruebas). Cámbialas si tu producto es otro.</t>
  </si>
  <si>
    <t>Ideal = reparto lineal del total entre las semanas del horizonte. Real = lo que sigue pendiente al cierre de cada semana (historias no Hechas o Hechas después de esa semana).</t>
  </si>
  <si>
    <t>Semanas del horizonte</t>
  </si>
  <si>
    <t>Cambia 9 si tu proyecto tiene otro número de sprints/semanas.</t>
  </si>
  <si>
    <t>Semana actual</t>
  </si>
  <si>
    <t>Editable. Por defecto, la última Semana fin informada en Historias.</t>
  </si>
  <si>
    <t>Horas totales</t>
  </si>
  <si>
    <t>Horas restantes</t>
  </si>
  <si>
    <t>Horas quemadas</t>
  </si>
  <si>
    <t>% horas hechas</t>
  </si>
  <si>
    <t>Historias escritas</t>
  </si>
  <si>
    <t>Historias hechas</t>
  </si>
  <si>
    <t>Datos del burndown</t>
  </si>
  <si>
    <t>Ideal horas</t>
  </si>
  <si>
    <t>Restante horas</t>
  </si>
  <si>
    <t>Quemadas horas</t>
  </si>
  <si>
    <t>Previsión</t>
  </si>
  <si>
    <t>Semanas estimadas para terminar (restante / velocidad)</t>
  </si>
  <si>
    <t>Si la velocidad media se mantiene. Si no hay historias Hechas con Semana fin, no hay velocidad.</t>
  </si>
  <si>
    <t>Cómo leerlo</t>
  </si>
  <si>
    <t>Si la línea Real (restante) está por ENCIMA de la Ideal, vais retrasados: os queda más trabajo del que deberíais a esa semana.</t>
  </si>
  <si>
    <t>Si está por DEBAJO, vais adelantados. La línea Ideal asume ritmo constante hasta la última semana del horizonte.</t>
  </si>
  <si>
    <t>Plantilla de estimacion y seguimiento Scrum</t>
  </si>
  <si>
    <t>2.13 Scrum</t>
  </si>
  <si>
    <t>Inspeccionar las US y criterios de aceptacion (Q)</t>
  </si>
  <si>
    <t>Elaborar Sprint Backlog con Sprint Goal y tareas de calidad</t>
  </si>
  <si>
    <t>Realizar Plan de Calidad, DoD y matriz de evidencias</t>
  </si>
  <si>
    <t>Registrar datos de calidad S5: revisiones, pruebas y defectos</t>
  </si>
  <si>
    <t>Registrar datos de calidad S7: ejecucion, defectos y verificacion DoD</t>
  </si>
  <si>
    <t>Ejecutar pruebas y registrar resultado esperado vs real y version</t>
  </si>
  <si>
    <t>Inspeccionar registros de pruebas, enlazar evidencias y poner en linea base (Q/GCS)</t>
  </si>
  <si>
    <t>Resumen de seguimiento Scrum</t>
  </si>
  <si>
    <t>Vista de lectura para el profesor y el equipo. Los indicadores se actualizan con Historias, Pruebas, Defectos y DoD.</t>
  </si>
  <si>
    <t>Sprint consultado</t>
  </si>
  <si>
    <t>Sprint 1</t>
  </si>
  <si>
    <t>Equipo</t>
  </si>
  <si>
    <t>Completar</t>
  </si>
  <si>
    <t>Version consultada</t>
  </si>
  <si>
    <t>v1.0</t>
  </si>
  <si>
    <t>Version del plan</t>
  </si>
  <si>
    <t>Coordinacion de Calidad</t>
  </si>
  <si>
    <t>Indicador</t>
  </si>
  <si>
    <t>Resultado</t>
  </si>
  <si>
    <t>Uso</t>
  </si>
  <si>
    <t>Cambiar B5 y B6 para consultar otro Sprint y version.</t>
  </si>
  <si>
    <t>Historias en curso</t>
  </si>
  <si>
    <t>Las celdas amarillas son datos editables.</t>
  </si>
  <si>
    <t>El plan original conserva PF, Gantt y Valor Ganado.</t>
  </si>
  <si>
    <t>Pruebas registradas en la version</t>
  </si>
  <si>
    <t>Una historia solo cumple DoD si tiene las seis condiciones y evidencia.</t>
  </si>
  <si>
    <t>Pruebas superadas en la version</t>
  </si>
  <si>
    <t>Registrar las decisiones y acciones en la hoja correspondiente.</t>
  </si>
  <si>
    <t>Pruebas fallidas en la version</t>
  </si>
  <si>
    <t>Defectos abiertos en la version</t>
  </si>
  <si>
    <t>Historias que cumplen DoD (todas versiones)</t>
  </si>
  <si>
    <t>Historias pendientes de DoD (todas versiones)</t>
  </si>
  <si>
    <t>Balance y decisiones del Sprint</t>
  </si>
  <si>
    <t>Controles previstos y realizados</t>
  </si>
  <si>
    <t>Pendientes que afectan al objetivo</t>
  </si>
  <si>
    <t>Accion acordada</t>
  </si>
  <si>
    <t>Responsable y proxima comprobacion</t>
  </si>
  <si>
    <t>Esfuerzo previsto, real y pendiente</t>
  </si>
  <si>
    <t>Enlace al acta o decision</t>
  </si>
  <si>
    <t>Plan de calidad</t>
  </si>
  <si>
    <t>El plan se acuerda al inicio y se revisa en cada Sprint. Planifica controles y evidencias; no sustituye a los registros de ejecución.</t>
  </si>
  <si>
    <t>Ejemplo docente inicial. Sustituir el ejemplo por los datos y enlaces del equipo.</t>
  </si>
  <si>
    <t>Control</t>
  </si>
  <si>
    <t>Sprint</t>
  </si>
  <si>
    <t>Alcance</t>
  </si>
  <si>
    <t>Momento</t>
  </si>
  <si>
    <t>Responsables</t>
  </si>
  <si>
    <t>Criterio verificable</t>
  </si>
  <si>
    <t>Evidencia prevista</t>
  </si>
  <si>
    <t>Previsto min</t>
  </si>
  <si>
    <t>Real min</t>
  </si>
  <si>
    <t>Pendiente min</t>
  </si>
  <si>
    <t>Observaciones</t>
  </si>
  <si>
    <t>Momento de uso</t>
  </si>
  <si>
    <t>Regla docente</t>
  </si>
  <si>
    <t>C-01</t>
  </si>
  <si>
    <t>Historias y aceptacion</t>
  </si>
  <si>
    <t>Revisar historia y criterios</t>
  </si>
  <si>
    <t>Antes de implementar</t>
  </si>
  <si>
    <t>Autor + otro integrante</t>
  </si>
  <si>
    <t>Criterios observables; dudas resueltas</t>
  </si>
  <si>
    <t>INS_SprintBacklog</t>
  </si>
  <si>
    <t>Previsto</t>
  </si>
  <si>
    <t>Planificacion</t>
  </si>
  <si>
    <t>Asignar responsables y esfuerzo</t>
  </si>
  <si>
    <t>C-02</t>
  </si>
  <si>
    <t>C-03</t>
  </si>
  <si>
    <t>Integracion</t>
  </si>
  <si>
    <t>C-04</t>
  </si>
  <si>
    <t>C-05</t>
  </si>
  <si>
    <t>C-06</t>
  </si>
  <si>
    <t>DoD por historia y version</t>
  </si>
  <si>
    <t>DoD inicial propuesta: cumplir aceptación, integrar, revisar por otro integrante, ejecutar y registrar pruebas/regresion, actualizar documentación y disponer de versión ejecutable identificada.</t>
  </si>
  <si>
    <t>Version producto</t>
  </si>
  <si>
    <t>Historia</t>
  </si>
  <si>
    <t>Aceptacion</t>
  </si>
  <si>
    <t>Revision por otro</t>
  </si>
  <si>
    <t>Pruebas y regresion</t>
  </si>
  <si>
    <t>Documentacion</t>
  </si>
  <si>
    <t>Version ejecutable</t>
  </si>
  <si>
    <t>Indice de evidencias</t>
  </si>
  <si>
    <t>Cumple</t>
  </si>
  <si>
    <t>Evidencias/E-001</t>
  </si>
  <si>
    <t>Ejemplo: falta ejecutar aceptación y regresión</t>
  </si>
  <si>
    <t>v1.1</t>
  </si>
  <si>
    <t>Evidencias/E-004</t>
  </si>
  <si>
    <t>Ejemplo: revisión y pruebas repetidas tras corrección</t>
  </si>
  <si>
    <t>Pruebas y ejecuciones</t>
  </si>
  <si>
    <t>Una fila por ejecución. Conservar los fallos al repetir una prueba y añadir una nueva fila para la nueva versión.</t>
  </si>
  <si>
    <t>Ejecucion</t>
  </si>
  <si>
    <t>Version</t>
  </si>
  <si>
    <t>Criterio</t>
  </si>
  <si>
    <t>Prueba</t>
  </si>
  <si>
    <t>Fecha o corte</t>
  </si>
  <si>
    <t>Ejecutor</t>
  </si>
  <si>
    <t>Entorno</t>
  </si>
  <si>
    <t>Datos iniciales</t>
  </si>
  <si>
    <t>Pasos</t>
  </si>
  <si>
    <t>Esperado</t>
  </si>
  <si>
    <t>Obtenido</t>
  </si>
  <si>
    <t>Defecto</t>
  </si>
  <si>
    <t>Archivo o enlace</t>
  </si>
  <si>
    <t>T03-01-v1.0</t>
  </si>
  <si>
    <t>CA03.1</t>
  </si>
  <si>
    <t>T03-01</t>
  </si>
  <si>
    <t>Corte ejemplo</t>
  </si>
  <si>
    <t>Integrante B</t>
  </si>
  <si>
    <t>Aplicacion + BD de prueba</t>
  </si>
  <si>
    <t>Vehiculo V-042; usuario autenticado</t>
  </si>
  <si>
    <t>Registrar vehículo con datos válidos</t>
  </si>
  <si>
    <t>Vehículo persistido y visible en listado</t>
  </si>
  <si>
    <t>Superada</t>
  </si>
  <si>
    <t>Evidencias/</t>
  </si>
  <si>
    <t>T03-02-v1.0</t>
  </si>
  <si>
    <t>CA03.2</t>
  </si>
  <si>
    <t>T03-02</t>
  </si>
  <si>
    <t>Dejar vacío un campo obligatorio</t>
  </si>
  <si>
    <t>Se muestra validación y no se persiste</t>
  </si>
  <si>
    <t>T03-03-v1.0</t>
  </si>
  <si>
    <t>CA03.3</t>
  </si>
  <si>
    <t>T03-03</t>
  </si>
  <si>
    <t>Editar vehículo existente</t>
  </si>
  <si>
    <t>Cambios persistidos y visibles</t>
  </si>
  <si>
    <t>Error al guardar cambio</t>
  </si>
  <si>
    <t>Fallida</t>
  </si>
  <si>
    <t>D-03</t>
  </si>
  <si>
    <t>T03-01-v1.1</t>
  </si>
  <si>
    <t>T03-02-v1.1</t>
  </si>
  <si>
    <t>T03-03-v1.1</t>
  </si>
  <si>
    <t>Evidencias y revisiones</t>
  </si>
  <si>
    <t>La evidencia debe permitir identificar qué se revisó o ejecutó, quién participó, sobre qué versión, con qué resultado y qué acción siguió.</t>
  </si>
  <si>
    <t>Registro</t>
  </si>
  <si>
    <t>Elemento revisado</t>
  </si>
  <si>
    <t>Autor</t>
  </si>
  <si>
    <t>Revisor</t>
  </si>
  <si>
    <t>Criterio de revision</t>
  </si>
  <si>
    <t>Hallazgos</t>
  </si>
  <si>
    <t>Accion y verificacion</t>
  </si>
  <si>
    <t>E-001</t>
  </si>
  <si>
    <t>Formulario y persistencia del alta</t>
  </si>
  <si>
    <t>Integrante A</t>
  </si>
  <si>
    <t>Campos obligatorios y datos persistidos</t>
  </si>
  <si>
    <t>Falta prueba de edición</t>
  </si>
  <si>
    <t>Con hallazgos</t>
  </si>
  <si>
    <t>Actualizar matriz y programar T03-03</t>
  </si>
  <si>
    <t>E-004</t>
  </si>
  <si>
    <t>Checklist DoD de la historia</t>
  </si>
  <si>
    <t>Cierre Sprint</t>
  </si>
  <si>
    <t>Seis condiciones y enlaces completos</t>
  </si>
  <si>
    <t>Cerrada</t>
  </si>
  <si>
    <t>Declarar Done tras comprobar enlaces</t>
  </si>
  <si>
    <t>Defectos y acciones</t>
  </si>
  <si>
    <t>Severidad describe el impacto y prioridad el orden de atención. Un defecto que incumple aceptación o DoD impide declarar terminada la historia afectada.</t>
  </si>
  <si>
    <t>Corte</t>
  </si>
  <si>
    <t>Descripcion</t>
  </si>
  <si>
    <t>Severidad</t>
  </si>
  <si>
    <t>Accion o correccion</t>
  </si>
  <si>
    <t>Fecha o corte objetivo</t>
  </si>
  <si>
    <t>Verificacion</t>
  </si>
  <si>
    <t>D03-C1</t>
  </si>
  <si>
    <t>La edición no guarda todos los campos</t>
  </si>
  <si>
    <t>Antes de Done</t>
  </si>
  <si>
    <t>Abierto</t>
  </si>
  <si>
    <t>Revisar actualización y repetir T03-03</t>
  </si>
  <si>
    <t>Corte 2</t>
  </si>
  <si>
    <t>T03-03 fallida</t>
  </si>
  <si>
    <t>Defectos/D-03</t>
  </si>
  <si>
    <t>D03-C2</t>
  </si>
  <si>
    <t>Cerrado</t>
  </si>
  <si>
    <t>Corrección integrada</t>
  </si>
  <si>
    <t>Cierre</t>
  </si>
  <si>
    <t>T03-03 superada</t>
  </si>
  <si>
    <t>Total Roles</t>
  </si>
  <si>
    <t>Horas Reales</t>
  </si>
  <si>
    <t>Horas Estimadas</t>
  </si>
  <si>
    <t>Burndown del proyecto</t>
  </si>
  <si>
    <t>Estado del proyecto</t>
  </si>
  <si>
    <t>Velocidad (horas quemadas / sem. actual)</t>
  </si>
  <si>
    <t>2.14</t>
  </si>
  <si>
    <t>Esfuerzo Sprint1</t>
  </si>
  <si>
    <t>Puntos Función previstos del Sprint</t>
  </si>
  <si>
    <t>2.14 Scrum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</si>
</sst>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h\ mm"/>
    <numFmt numFmtId="165" formatCode="0.0%"/>
    <numFmt numFmtId="166" formatCode="0.0"/>
  </numFmts>
  <fonts count="39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rgb="FFFFFFFF"/>
      <name val="Calibri"/>
      <family val="2"/>
    </font>
    <font>
      <b/>
      <sz val="16"/>
      <color rgb="FF1F4E79"/>
      <name val="Calibri"/>
      <family val="2"/>
    </font>
    <font>
      <i/>
      <sz val="11"/>
      <color rgb="FF595959"/>
      <name val="Calibri"/>
      <family val="2"/>
    </font>
    <font>
      <b/>
      <sz val="11"/>
      <name val="Calibri"/>
      <family val="2"/>
    </font>
    <font>
      <b/>
      <sz val="12"/>
      <color rgb="FF0000FF"/>
      <name val="Calibri"/>
      <family val="2"/>
    </font>
    <font>
      <i/>
      <sz val="9"/>
      <color rgb="FF666666"/>
      <name val="Calibri"/>
      <family val="2"/>
    </font>
    <font>
      <b/>
      <sz val="12"/>
      <color rgb="FF1F4E79"/>
      <name val="Calibri"/>
      <family val="2"/>
    </font>
    <font>
      <b/>
      <sz val="9"/>
      <color rgb="FF1F4E79"/>
      <name val="Calibri"/>
      <family val="2"/>
    </font>
    <font>
      <b/>
      <sz val="14"/>
      <color rgb="FF1F4E79"/>
      <name val="Calibri"/>
      <family val="2"/>
    </font>
    <font>
      <sz val="11"/>
      <name val="Calibri"/>
      <family val="2"/>
    </font>
    <font>
      <b/>
      <sz val="10"/>
      <color rgb="FFFFFFFF"/>
      <name val="Calibri"/>
      <family val="2"/>
    </font>
    <font>
      <sz val="11"/>
      <color rgb="FF0000FF"/>
      <name val="Calibri"/>
      <family val="2"/>
    </font>
    <font>
      <b/>
      <sz val="11"/>
      <color rgb="FFFFFFFF"/>
      <name val="Calibri"/>
      <family val="2"/>
    </font>
    <font>
      <b/>
      <sz val="12"/>
      <name val="Calibri"/>
      <family val="2"/>
    </font>
    <font>
      <b/>
      <sz val="9"/>
      <name val="Calibri"/>
      <family val="2"/>
    </font>
    <font>
      <b/>
      <sz val="14"/>
      <color rgb="FF1F4E79"/>
      <name val="Calibri"/>
      <family val="2"/>
    </font>
    <font>
      <b/>
      <sz val="10"/>
      <name val="Calibri"/>
      <family val="2"/>
    </font>
    <font>
      <b/>
      <sz val="12"/>
      <color rgb="FF1F4E79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1"/>
      <color rgb="FF0000FF"/>
      <name val="Calibri"/>
      <family val="2"/>
    </font>
    <font>
      <i/>
      <sz val="8"/>
      <color rgb="FF666666"/>
      <name val="Calibri"/>
      <family val="2"/>
    </font>
    <font>
      <b/>
      <sz val="11"/>
      <name val="Calibri"/>
      <family val="2"/>
    </font>
    <font>
      <i/>
      <sz val="9"/>
      <color rgb="FF666666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sz val="11"/>
      <color rgb="FF202B33"/>
      <name val="Arial"/>
      <family val="2"/>
    </font>
    <font>
      <b/>
      <sz val="16"/>
      <color rgb="FF202B33"/>
      <name val="Arial"/>
      <family val="2"/>
    </font>
    <font>
      <i/>
      <sz val="10"/>
      <color rgb="FF59636A"/>
      <name val="Arial"/>
      <family val="2"/>
    </font>
    <font>
      <b/>
      <sz val="11"/>
      <color rgb="FF202B33"/>
      <name val="Arial"/>
      <family val="2"/>
    </font>
    <font>
      <b/>
      <sz val="11"/>
      <color rgb="FFFFFFFF"/>
      <name val="Arial"/>
      <family val="2"/>
    </font>
    <font>
      <sz val="10"/>
      <color rgb="FF202B33"/>
      <name val="Arial"/>
      <family val="2"/>
    </font>
    <font>
      <i/>
      <sz val="9"/>
      <color rgb="FF59636A"/>
      <name val="Arial"/>
      <family val="2"/>
    </font>
    <font>
      <b/>
      <sz val="10"/>
      <color rgb="FFFFFFFF"/>
      <name val="Arial"/>
      <family val="2"/>
    </font>
    <font>
      <sz val="11"/>
      <color rgb="FF000000"/>
      <name val="Calibri"/>
      <family val="2"/>
    </font>
    <font>
      <sz val="12"/>
      <color rgb="FF9C5700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81D41A"/>
      </patternFill>
    </fill>
    <fill>
      <patternFill patternType="solid">
        <fgColor rgb="FF729FCF"/>
      </patternFill>
    </fill>
    <fill>
      <patternFill patternType="solid">
        <fgColor rgb="FFA1467E"/>
      </patternFill>
    </fill>
    <fill>
      <patternFill patternType="solid">
        <fgColor rgb="FFEA7500"/>
      </patternFill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8EA9DB"/>
      </patternFill>
    </fill>
    <fill>
      <patternFill patternType="solid">
        <fgColor rgb="FFFFC000"/>
      </patternFill>
    </fill>
    <fill>
      <patternFill patternType="solid">
        <fgColor rgb="FF7030A0"/>
      </patternFill>
    </fill>
    <fill>
      <patternFill patternType="solid">
        <fgColor rgb="FFCCCCCC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FFFF99"/>
      </patternFill>
    </fill>
    <fill>
      <patternFill patternType="solid">
        <fgColor rgb="FFD6EAF8"/>
      </patternFill>
    </fill>
    <fill>
      <patternFill patternType="solid">
        <fgColor rgb="FF1F4E79"/>
      </patternFill>
    </fill>
    <fill>
      <patternFill patternType="solid">
        <fgColor rgb="FFEAF2F8"/>
      </patternFill>
    </fill>
    <fill>
      <patternFill patternType="solid">
        <fgColor rgb="FFFCE4D6"/>
      </patternFill>
    </fill>
    <fill>
      <patternFill patternType="solid">
        <fgColor rgb="FFD6EAF8"/>
      </patternFill>
    </fill>
    <fill>
      <patternFill patternType="solid">
        <fgColor rgb="FF1F4E79"/>
      </patternFill>
    </fill>
    <fill>
      <patternFill patternType="solid">
        <fgColor rgb="FFEAF2F8"/>
      </patternFill>
    </fill>
    <fill>
      <patternFill patternType="solid">
        <fgColor rgb="FFFFFF99"/>
      </patternFill>
    </fill>
    <fill>
      <patternFill patternType="solid">
        <fgColor rgb="FFFFFFFF"/>
      </patternFill>
    </fill>
    <fill>
      <patternFill patternType="solid">
        <fgColor theme="2"/>
      </patternFill>
    </fill>
    <fill>
      <patternFill patternType="solid">
        <fgColor rgb="FFBFBFBF"/>
      </patternFill>
    </fill>
    <fill>
      <patternFill patternType="solid">
        <fgColor rgb="FFFFF2CC"/>
      </patternFill>
    </fill>
    <fill>
      <patternFill patternType="solid">
        <fgColor rgb="FF344E41"/>
      </patternFill>
    </fill>
    <fill>
      <patternFill patternType="solid">
        <fgColor rgb="FFEEF1F3"/>
      </patternFill>
    </fill>
    <fill>
      <patternFill patternType="solid">
        <fgColor rgb="FFFFF9E8"/>
      </patternFill>
    </fill>
    <fill>
      <patternFill patternType="solid">
        <fgColor rgb="FFF6F7F5"/>
      </patternFill>
    </fill>
    <fill>
      <patternFill patternType="solid">
        <fgColor rgb="FFFFEB9C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38" fillId="31" borderId="0" applyNumberFormat="0" applyBorder="0" applyAlignment="0" applyProtection="0"/>
  </cellStyleXfs>
  <cellXfs count="111">
    <xf numFmtId="0" fontId="0" fillId="0" borderId="0" xfId="0"/>
    <xf numFmtId="0" fontId="1" fillId="0" borderId="0" xfId="0" applyFont="1"/>
    <xf numFmtId="0" fontId="0" fillId="5" borderId="0" xfId="0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7" borderId="0" xfId="0" applyFont="1" applyFill="1"/>
    <xf numFmtId="0" fontId="0" fillId="7" borderId="0" xfId="0" applyFill="1"/>
    <xf numFmtId="0" fontId="2" fillId="0" borderId="0" xfId="0" applyFont="1"/>
    <xf numFmtId="0" fontId="1" fillId="8" borderId="0" xfId="0" applyFont="1" applyFill="1"/>
    <xf numFmtId="0" fontId="0" fillId="8" borderId="0" xfId="0" applyFill="1"/>
    <xf numFmtId="0" fontId="1" fillId="9" borderId="0" xfId="0" applyFont="1" applyFill="1"/>
    <xf numFmtId="0" fontId="0" fillId="9" borderId="0" xfId="0" applyFill="1"/>
    <xf numFmtId="0" fontId="3" fillId="10" borderId="0" xfId="0" applyFont="1" applyFill="1"/>
    <xf numFmtId="0" fontId="0" fillId="10" borderId="0" xfId="0" applyFill="1"/>
    <xf numFmtId="0" fontId="1" fillId="11" borderId="3" xfId="0" applyFont="1" applyFill="1" applyBorder="1"/>
    <xf numFmtId="0" fontId="1" fillId="11" borderId="3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0" fontId="0" fillId="0" borderId="0" xfId="0" applyNumberFormat="1"/>
    <xf numFmtId="164" fontId="0" fillId="0" borderId="0" xfId="0" applyNumberFormat="1"/>
    <xf numFmtId="0" fontId="1" fillId="12" borderId="3" xfId="0" applyFont="1" applyFill="1" applyBorder="1" applyAlignment="1">
      <alignment horizontal="center"/>
    </xf>
    <xf numFmtId="0" fontId="0" fillId="13" borderId="3" xfId="0" applyFill="1" applyBorder="1"/>
    <xf numFmtId="2" fontId="0" fillId="13" borderId="2" xfId="0" applyNumberFormat="1" applyFill="1" applyBorder="1"/>
    <xf numFmtId="0" fontId="0" fillId="0" borderId="3" xfId="0" applyBorder="1"/>
    <xf numFmtId="2" fontId="0" fillId="0" borderId="0" xfId="0" applyNumberFormat="1"/>
    <xf numFmtId="2" fontId="0" fillId="0" borderId="3" xfId="0" applyNumberFormat="1" applyBorder="1"/>
    <xf numFmtId="2" fontId="0" fillId="13" borderId="3" xfId="0" applyNumberFormat="1" applyFill="1" applyBorder="1"/>
    <xf numFmtId="0" fontId="6" fillId="0" borderId="0" xfId="0" applyFont="1"/>
    <xf numFmtId="0" fontId="7" fillId="14" borderId="4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left" vertical="center" wrapText="1"/>
    </xf>
    <xf numFmtId="2" fontId="11" fillId="15" borderId="4" xfId="0" applyNumberFormat="1" applyFont="1" applyFill="1" applyBorder="1" applyAlignment="1">
      <alignment horizontal="center" vertical="center" wrapText="1"/>
    </xf>
    <xf numFmtId="165" fontId="11" fillId="15" borderId="4" xfId="0" applyNumberFormat="1" applyFont="1" applyFill="1" applyBorder="1" applyAlignment="1">
      <alignment horizontal="center" vertical="center" wrapText="1"/>
    </xf>
    <xf numFmtId="1" fontId="11" fillId="15" borderId="4" xfId="0" applyNumberFormat="1" applyFont="1" applyFill="1" applyBorder="1" applyAlignment="1">
      <alignment horizontal="center" vertical="center" wrapText="1"/>
    </xf>
    <xf numFmtId="0" fontId="13" fillId="16" borderId="4" xfId="0" applyFont="1" applyFill="1" applyBorder="1" applyAlignment="1">
      <alignment horizontal="center" vertical="center" wrapText="1"/>
    </xf>
    <xf numFmtId="1" fontId="12" fillId="0" borderId="4" xfId="0" applyNumberFormat="1" applyFont="1" applyBorder="1" applyAlignment="1">
      <alignment horizontal="center" vertical="center" wrapText="1"/>
    </xf>
    <xf numFmtId="2" fontId="12" fillId="0" borderId="4" xfId="0" applyNumberFormat="1" applyFont="1" applyBorder="1" applyAlignment="1">
      <alignment horizontal="center" vertical="center" wrapText="1"/>
    </xf>
    <xf numFmtId="1" fontId="12" fillId="17" borderId="4" xfId="0" applyNumberFormat="1" applyFont="1" applyFill="1" applyBorder="1" applyAlignment="1">
      <alignment horizontal="center" vertical="center" wrapText="1"/>
    </xf>
    <xf numFmtId="2" fontId="12" fillId="17" borderId="4" xfId="0" applyNumberFormat="1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14" borderId="4" xfId="0" applyFont="1" applyFill="1" applyBorder="1" applyAlignment="1">
      <alignment horizontal="left" vertical="center" wrapText="1"/>
    </xf>
    <xf numFmtId="1" fontId="14" fillId="14" borderId="4" xfId="0" applyNumberFormat="1" applyFont="1" applyFill="1" applyBorder="1" applyAlignment="1">
      <alignment horizontal="center" vertical="center" wrapText="1"/>
    </xf>
    <xf numFmtId="0" fontId="12" fillId="14" borderId="4" xfId="0" applyFont="1" applyFill="1" applyBorder="1" applyAlignment="1">
      <alignment horizontal="center" vertical="center" wrapText="1"/>
    </xf>
    <xf numFmtId="0" fontId="15" fillId="16" borderId="4" xfId="0" applyFont="1" applyFill="1" applyBorder="1" applyAlignment="1">
      <alignment horizontal="center" vertical="center" wrapText="1"/>
    </xf>
    <xf numFmtId="1" fontId="7" fillId="14" borderId="4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166" fontId="11" fillId="15" borderId="4" xfId="0" applyNumberFormat="1" applyFont="1" applyFill="1" applyBorder="1" applyAlignment="1">
      <alignment horizontal="center" vertical="center" wrapText="1"/>
    </xf>
    <xf numFmtId="166" fontId="12" fillId="0" borderId="4" xfId="0" applyNumberFormat="1" applyFont="1" applyBorder="1" applyAlignment="1">
      <alignment horizontal="center" vertical="center" wrapText="1"/>
    </xf>
    <xf numFmtId="166" fontId="12" fillId="17" borderId="4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wrapTex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20" borderId="5" xfId="0" applyFont="1" applyFill="1" applyBorder="1" applyAlignment="1">
      <alignment horizontal="center" vertical="center" wrapText="1"/>
    </xf>
    <xf numFmtId="0" fontId="22" fillId="21" borderId="5" xfId="0" applyFont="1" applyFill="1" applyBorder="1" applyAlignment="1">
      <alignment horizontal="left" vertical="center" wrapText="1"/>
    </xf>
    <xf numFmtId="0" fontId="23" fillId="22" borderId="5" xfId="0" applyFont="1" applyFill="1" applyBorder="1" applyAlignment="1">
      <alignment horizontal="center" vertical="center" wrapText="1"/>
    </xf>
    <xf numFmtId="0" fontId="22" fillId="21" borderId="5" xfId="0" applyFont="1" applyFill="1" applyBorder="1" applyAlignment="1">
      <alignment horizontal="center" vertical="center" wrapText="1"/>
    </xf>
    <xf numFmtId="0" fontId="22" fillId="23" borderId="5" xfId="0" applyFont="1" applyFill="1" applyBorder="1" applyAlignment="1">
      <alignment horizontal="left" vertical="center" wrapText="1"/>
    </xf>
    <xf numFmtId="0" fontId="22" fillId="23" borderId="5" xfId="0" applyFont="1" applyFill="1" applyBorder="1" applyAlignment="1">
      <alignment horizontal="center" vertical="center" wrapText="1"/>
    </xf>
    <xf numFmtId="0" fontId="24" fillId="0" borderId="0" xfId="0" applyFont="1" applyAlignment="1">
      <alignment vertical="top" wrapText="1"/>
    </xf>
    <xf numFmtId="0" fontId="0" fillId="24" borderId="0" xfId="0" applyFill="1" applyAlignment="1">
      <alignment horizontal="left" vertical="center"/>
    </xf>
    <xf numFmtId="0" fontId="25" fillId="6" borderId="0" xfId="0" applyFont="1" applyFill="1" applyAlignment="1">
      <alignment horizontal="left" vertical="center"/>
    </xf>
    <xf numFmtId="0" fontId="25" fillId="24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center" vertical="center"/>
    </xf>
    <xf numFmtId="0" fontId="25" fillId="5" borderId="0" xfId="0" applyFont="1" applyFill="1" applyAlignment="1">
      <alignment horizontal="left" vertical="center"/>
    </xf>
    <xf numFmtId="0" fontId="25" fillId="3" borderId="0" xfId="0" applyFont="1" applyFill="1" applyAlignment="1">
      <alignment horizontal="center" vertical="center"/>
    </xf>
    <xf numFmtId="0" fontId="25" fillId="4" borderId="0" xfId="0" applyFont="1" applyFill="1" applyAlignment="1">
      <alignment horizontal="center" vertical="center"/>
    </xf>
    <xf numFmtId="0" fontId="26" fillId="0" borderId="0" xfId="0" applyFont="1" applyAlignment="1">
      <alignment horizontal="right"/>
    </xf>
    <xf numFmtId="1" fontId="25" fillId="0" borderId="0" xfId="0" applyNumberFormat="1" applyFont="1"/>
    <xf numFmtId="0" fontId="27" fillId="25" borderId="6" xfId="0" applyFont="1" applyFill="1" applyBorder="1" applyAlignment="1">
      <alignment horizontal="center" vertical="center" wrapText="1"/>
    </xf>
    <xf numFmtId="0" fontId="28" fillId="0" borderId="6" xfId="0" applyFont="1" applyBorder="1" applyAlignment="1">
      <alignment horizontal="left" vertical="center" wrapText="1"/>
    </xf>
    <xf numFmtId="1" fontId="28" fillId="0" borderId="6" xfId="0" applyNumberFormat="1" applyFont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 wrapText="1"/>
    </xf>
    <xf numFmtId="0" fontId="29" fillId="26" borderId="0" xfId="0" applyFont="1" applyFill="1" applyAlignment="1">
      <alignment vertical="center"/>
    </xf>
    <xf numFmtId="0" fontId="32" fillId="26" borderId="0" xfId="0" applyFont="1" applyFill="1" applyAlignment="1">
      <alignment horizontal="center" vertical="center"/>
    </xf>
    <xf numFmtId="0" fontId="33" fillId="27" borderId="0" xfId="0" applyFont="1" applyFill="1" applyAlignment="1">
      <alignment vertical="center"/>
    </xf>
    <xf numFmtId="1" fontId="29" fillId="28" borderId="0" xfId="0" applyNumberFormat="1" applyFont="1" applyFill="1" applyAlignment="1">
      <alignment horizontal="right" vertical="center"/>
    </xf>
    <xf numFmtId="0" fontId="32" fillId="0" borderId="0" xfId="0" applyFont="1" applyAlignment="1">
      <alignment vertical="center"/>
    </xf>
    <xf numFmtId="0" fontId="29" fillId="26" borderId="0" xfId="0" applyFont="1" applyFill="1" applyAlignment="1">
      <alignment vertical="center" wrapText="1"/>
    </xf>
    <xf numFmtId="0" fontId="34" fillId="0" borderId="0" xfId="0" applyFont="1" applyAlignment="1">
      <alignment vertical="center"/>
    </xf>
    <xf numFmtId="0" fontId="35" fillId="0" borderId="0" xfId="0" applyFont="1" applyAlignment="1">
      <alignment vertical="center" wrapText="1"/>
    </xf>
    <xf numFmtId="0" fontId="36" fillId="27" borderId="7" xfId="0" applyFont="1" applyFill="1" applyBorder="1" applyAlignment="1">
      <alignment horizontal="center" vertical="center" wrapText="1"/>
    </xf>
    <xf numFmtId="0" fontId="34" fillId="29" borderId="7" xfId="0" applyFont="1" applyFill="1" applyBorder="1" applyAlignment="1">
      <alignment vertical="center" wrapText="1"/>
    </xf>
    <xf numFmtId="1" fontId="34" fillId="29" borderId="7" xfId="0" applyNumberFormat="1" applyFont="1" applyFill="1" applyBorder="1" applyAlignment="1">
      <alignment vertical="center" wrapText="1"/>
    </xf>
    <xf numFmtId="0" fontId="36" fillId="27" borderId="0" xfId="0" applyFont="1" applyFill="1"/>
    <xf numFmtId="0" fontId="0" fillId="30" borderId="0" xfId="0" applyFill="1" applyAlignment="1">
      <alignment wrapText="1"/>
    </xf>
    <xf numFmtId="0" fontId="34" fillId="28" borderId="7" xfId="0" applyFont="1" applyFill="1" applyBorder="1" applyAlignment="1">
      <alignment vertical="center" wrapText="1"/>
    </xf>
    <xf numFmtId="0" fontId="37" fillId="0" borderId="0" xfId="0" applyFont="1"/>
    <xf numFmtId="0" fontId="13" fillId="20" borderId="5" xfId="0" applyFont="1" applyFill="1" applyBorder="1" applyAlignment="1">
      <alignment horizontal="center" vertical="center" wrapText="1"/>
    </xf>
    <xf numFmtId="2" fontId="23" fillId="22" borderId="5" xfId="0" applyNumberFormat="1" applyFont="1" applyFill="1" applyBorder="1" applyAlignment="1">
      <alignment horizontal="center" vertical="center" wrapText="1"/>
    </xf>
    <xf numFmtId="2" fontId="22" fillId="21" borderId="5" xfId="0" applyNumberFormat="1" applyFont="1" applyFill="1" applyBorder="1" applyAlignment="1">
      <alignment horizontal="center" vertical="center" wrapText="1"/>
    </xf>
    <xf numFmtId="166" fontId="16" fillId="18" borderId="4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0" fillId="0" borderId="0" xfId="0"/>
    <xf numFmtId="0" fontId="9" fillId="0" borderId="0" xfId="0" applyFont="1"/>
    <xf numFmtId="0" fontId="12" fillId="0" borderId="0" xfId="0" applyFont="1"/>
    <xf numFmtId="0" fontId="5" fillId="0" borderId="0" xfId="0" applyFont="1"/>
    <xf numFmtId="0" fontId="4" fillId="0" borderId="0" xfId="0" applyFont="1"/>
    <xf numFmtId="0" fontId="9" fillId="19" borderId="5" xfId="0" applyFont="1" applyFill="1" applyBorder="1" applyAlignment="1">
      <alignment horizontal="center" vertical="center" wrapText="1"/>
    </xf>
    <xf numFmtId="0" fontId="37" fillId="0" borderId="0" xfId="0" applyFont="1" applyAlignment="1">
      <alignment wrapText="1"/>
    </xf>
    <xf numFmtId="0" fontId="38" fillId="31" borderId="0" xfId="1" applyAlignment="1">
      <alignment horizontal="center"/>
    </xf>
  </cellXfs>
  <cellStyles count="2">
    <cellStyle name="Neutral" xfId="1" builtinId="28"/>
    <cellStyle name="Normal" xfId="0" builtinId="0"/>
  </cellStyles>
  <dxfs count="27">
    <dxf>
      <font>
        <b/>
        <color rgb="FF9A302B"/>
      </font>
      <fill>
        <patternFill patternType="solid">
          <bgColor rgb="FFFCE5E3"/>
        </patternFill>
      </fill>
    </dxf>
    <dxf>
      <font>
        <b/>
        <color rgb="FF9A302B"/>
      </font>
      <fill>
        <patternFill patternType="solid">
          <bgColor rgb="FFFCE5E3"/>
        </patternFill>
      </fill>
    </dxf>
    <dxf>
      <font>
        <b/>
        <color rgb="FF9A302B"/>
      </font>
      <fill>
        <patternFill patternType="solid">
          <bgColor rgb="FFFCE5E3"/>
        </patternFill>
      </fill>
    </dxf>
    <dxf>
      <font>
        <b/>
        <color rgb="FF9A302B"/>
      </font>
      <fill>
        <patternFill patternType="solid">
          <bgColor rgb="FFFCE5E3"/>
        </patternFill>
      </fill>
    </dxf>
    <dxf>
      <font>
        <b/>
        <color rgb="FF9A302B"/>
      </font>
      <fill>
        <patternFill patternType="solid">
          <bgColor rgb="FFFCE5E3"/>
        </patternFill>
      </fill>
    </dxf>
    <dxf>
      <font>
        <b/>
        <color rgb="FF9A302B"/>
      </font>
      <fill>
        <patternFill patternType="solid">
          <bgColor rgb="FFFCE5E3"/>
        </patternFill>
      </fill>
    </dxf>
    <dxf>
      <font>
        <b/>
        <color rgb="FF9A302B"/>
      </font>
      <fill>
        <patternFill patternType="solid">
          <bgColor rgb="FFFCE5E3"/>
        </patternFill>
      </fill>
    </dxf>
    <dxf>
      <font>
        <b/>
        <color rgb="FF9A302B"/>
      </font>
      <fill>
        <patternFill patternType="solid">
          <bgColor rgb="FFFCE5E3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sz val="11"/>
        <color rgb="FF9C5700"/>
        <name val="Calibri"/>
        <family val="2"/>
      </font>
      <fill>
        <patternFill>
          <bgColor rgb="FFFFEB9C"/>
        </patternFill>
      </fill>
    </dxf>
    <dxf>
      <font>
        <sz val="11"/>
        <color rgb="FF006100"/>
        <name val="Calibri"/>
        <family val="2"/>
      </font>
      <fill>
        <patternFill>
          <bgColor rgb="FFC6EFCE"/>
        </patternFill>
      </fill>
    </dxf>
    <dxf>
      <font>
        <sz val="11"/>
        <color rgb="FF9C0006"/>
        <name val="Calibri"/>
        <family val="2"/>
      </font>
      <fill>
        <patternFill>
          <bgColor rgb="FFFFC7CE"/>
        </patternFill>
      </fill>
    </dxf>
    <dxf>
      <font>
        <sz val="11"/>
        <color rgb="FF9C5700"/>
        <name val="Calibri"/>
        <family val="2"/>
      </font>
      <fill>
        <patternFill>
          <bgColor rgb="FFFFEB9C"/>
        </patternFill>
      </fill>
    </dxf>
    <dxf>
      <font>
        <sz val="11"/>
        <color rgb="FF006100"/>
        <name val="Calibri"/>
        <family val="2"/>
      </font>
      <fill>
        <patternFill>
          <bgColor rgb="FFC6EFCE"/>
        </patternFill>
      </fill>
    </dxf>
    <dxf>
      <font>
        <sz val="11"/>
        <color rgb="FF9C0006"/>
        <name val="Calibri"/>
        <family val="2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92D050"/>
      <rgbColor rgb="FF0000FF"/>
      <rgbColor rgb="FFFFFF00"/>
      <rgbColor rgb="FFFF00FF"/>
      <rgbColor rgb="FFFCE4D6"/>
      <rgbColor rgb="FF9C0006"/>
      <rgbColor rgb="FF006100"/>
      <rgbColor rgb="FF000080"/>
      <rgbColor rgb="FFD36F2B"/>
      <rgbColor rgb="FF800080"/>
      <rgbColor rgb="FFA5A5A5"/>
      <rgbColor rgb="FFBFBFBF"/>
      <rgbColor rgb="FF7F7F7F"/>
      <rgbColor rgb="FF8EA9DB"/>
      <rgbColor rgb="FFA1467E"/>
      <rgbColor rgb="FFF2F2F2"/>
      <rgbColor rgb="FFD6EAF8"/>
      <rgbColor rgb="FF660066"/>
      <rgbColor rgb="FFED7D31"/>
      <rgbColor rgb="FF0066CC"/>
      <rgbColor rgb="FFCCCCCC"/>
      <rgbColor rgb="FF000080"/>
      <rgbColor rgb="FFFF00FF"/>
      <rgbColor rgb="FFFFEB9C"/>
      <rgbColor rgb="FF00FFFF"/>
      <rgbColor rgb="FF800080"/>
      <rgbColor rgb="FF800000"/>
      <rgbColor rgb="FF008080"/>
      <rgbColor rgb="FF0000FF"/>
      <rgbColor rgb="FFD9D9D9"/>
      <rgbColor rgb="FFEAF2F8"/>
      <rgbColor rgb="FFC6EFCE"/>
      <rgbColor rgb="FFFFFF99"/>
      <rgbColor rgb="FFB3B3B3"/>
      <rgbColor rgb="FFF1A78B"/>
      <rgbColor rgb="FFB0B0B0"/>
      <rgbColor rgb="FFFFC7CE"/>
      <rgbColor rgb="FF4472C4"/>
      <rgbColor rgb="FF729FCF"/>
      <rgbColor rgb="FF81D41A"/>
      <rgbColor rgb="FFFFC000"/>
      <rgbColor rgb="FFFF8000"/>
      <rgbColor rgb="FFEA7500"/>
      <rgbColor rgb="FF666666"/>
      <rgbColor rgb="FF8B8B8B"/>
      <rgbColor rgb="FF004586"/>
      <rgbColor rgb="FF5B9BD5"/>
      <rgbColor rgb="FF003300"/>
      <rgbColor rgb="FF333300"/>
      <rgbColor rgb="FF9C5700"/>
      <rgbColor rgb="FF7030A0"/>
      <rgbColor rgb="FF1F4E7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1"/>
  <c:style val="2"/>
  <c:chart>
    <c:title>
      <c:tx>
        <c:rich>
          <a:bodyPr/>
          <a:lstStyle/>
          <a:p>
            <a:r>
              <a:rPr lang="es-ES" sz="1400" b="0" i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Carga de horas estimadas por rol/semana</a:t>
            </a:r>
          </a:p>
        </c:rich>
      </c:tx>
      <c:overlay val="1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percentStacked"/>
        <c:varyColors val="1"/>
        <c:ser>
          <c:idx val="0"/>
          <c:order val="0"/>
          <c:tx>
            <c:strRef>
              <c:f>'Horas Estimadas'!$I$9</c:f>
              <c:strCache>
                <c:ptCount val="1"/>
                <c:pt idx="0">
                  <c:v>Líder / Scrum Master</c:v>
                </c:pt>
              </c:strCache>
            </c:strRef>
          </c:tx>
          <c:spPr>
            <a:solidFill>
              <a:srgbClr val="4472C4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txPr>
              <a:bodyPr anchorCtr="1"/>
              <a:lstStyle/>
              <a:p>
                <a:pPr>
                  <a:defRPr sz="900" b="0" i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'Horas Estimadas'!$J$8:$S$8</c:f>
              <c:strCache>
                <c:ptCount val="10"/>
                <c:pt idx="0">
                  <c:v>Total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strCache>
            </c:strRef>
          </c:cat>
          <c:val>
            <c:numRef>
              <c:f>'Horas Estimadas'!$J$9:$S$9</c:f>
              <c:numCache>
                <c:formatCode>0.00</c:formatCode>
                <c:ptCount val="10"/>
                <c:pt idx="0">
                  <c:v>33</c:v>
                </c:pt>
                <c:pt idx="1">
                  <c:v>3.25</c:v>
                </c:pt>
                <c:pt idx="2">
                  <c:v>0.41666666666666669</c:v>
                </c:pt>
                <c:pt idx="3">
                  <c:v>0.83333333333333337</c:v>
                </c:pt>
                <c:pt idx="4">
                  <c:v>3.75</c:v>
                </c:pt>
                <c:pt idx="5">
                  <c:v>0.91666666666666663</c:v>
                </c:pt>
                <c:pt idx="6">
                  <c:v>0.75</c:v>
                </c:pt>
                <c:pt idx="7">
                  <c:v>14.083333333333334</c:v>
                </c:pt>
                <c:pt idx="8">
                  <c:v>4.583333333333333</c:v>
                </c:pt>
                <c:pt idx="9">
                  <c:v>4.416666666666667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404-E949-848F-D94F4508799F}"/>
            </c:ext>
          </c:extLst>
        </c:ser>
        <c:ser>
          <c:idx val="1"/>
          <c:order val="1"/>
          <c:tx>
            <c:strRef>
              <c:f>'Horas Estimadas'!$I$10</c:f>
              <c:strCache>
                <c:ptCount val="1"/>
                <c:pt idx="0">
                  <c:v>Product Owner</c:v>
                </c:pt>
              </c:strCache>
            </c:strRef>
          </c:tx>
          <c:spPr>
            <a:solidFill>
              <a:srgbClr val="ED7D31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txPr>
              <a:bodyPr anchorCtr="1"/>
              <a:lstStyle/>
              <a:p>
                <a:pPr>
                  <a:defRPr sz="900" b="0" i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'Horas Estimadas'!$J$8:$S$8</c:f>
              <c:strCache>
                <c:ptCount val="10"/>
                <c:pt idx="0">
                  <c:v>Total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strCache>
            </c:strRef>
          </c:cat>
          <c:val>
            <c:numRef>
              <c:f>'Horas Estimadas'!$J$10:$S$10</c:f>
              <c:numCache>
                <c:formatCode>0.00</c:formatCode>
                <c:ptCount val="10"/>
                <c:pt idx="0">
                  <c:v>32.833333333333329</c:v>
                </c:pt>
                <c:pt idx="1">
                  <c:v>3</c:v>
                </c:pt>
                <c:pt idx="2">
                  <c:v>0.41666666666666669</c:v>
                </c:pt>
                <c:pt idx="3">
                  <c:v>6</c:v>
                </c:pt>
                <c:pt idx="4">
                  <c:v>1.1666666666666667</c:v>
                </c:pt>
                <c:pt idx="5">
                  <c:v>1.25</c:v>
                </c:pt>
                <c:pt idx="6">
                  <c:v>0.91666666666666663</c:v>
                </c:pt>
                <c:pt idx="7">
                  <c:v>14.083333333333334</c:v>
                </c:pt>
                <c:pt idx="8">
                  <c:v>4.583333333333333</c:v>
                </c:pt>
                <c:pt idx="9">
                  <c:v>1.4166666666666667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404-E949-848F-D94F4508799F}"/>
            </c:ext>
          </c:extLst>
        </c:ser>
        <c:ser>
          <c:idx val="2"/>
          <c:order val="2"/>
          <c:tx>
            <c:strRef>
              <c:f>'Horas Estimadas'!$I$11</c:f>
              <c:strCache>
                <c:ptCount val="1"/>
                <c:pt idx="0">
                  <c:v>Planificación</c:v>
                </c:pt>
              </c:strCache>
            </c:strRef>
          </c:tx>
          <c:spPr>
            <a:solidFill>
              <a:srgbClr val="A5A5A5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txPr>
              <a:bodyPr anchorCtr="1"/>
              <a:lstStyle/>
              <a:p>
                <a:pPr>
                  <a:defRPr sz="900" b="0" i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'Horas Estimadas'!$J$8:$S$8</c:f>
              <c:strCache>
                <c:ptCount val="10"/>
                <c:pt idx="0">
                  <c:v>Total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strCache>
            </c:strRef>
          </c:cat>
          <c:val>
            <c:numRef>
              <c:f>'Horas Estimadas'!$J$11:$S$11</c:f>
              <c:numCache>
                <c:formatCode>0.00</c:formatCode>
                <c:ptCount val="10"/>
                <c:pt idx="0">
                  <c:v>30.25</c:v>
                </c:pt>
                <c:pt idx="1">
                  <c:v>2.6666666666666665</c:v>
                </c:pt>
                <c:pt idx="2">
                  <c:v>0.41666666666666669</c:v>
                </c:pt>
                <c:pt idx="3">
                  <c:v>1</c:v>
                </c:pt>
                <c:pt idx="4">
                  <c:v>3.9166666666666665</c:v>
                </c:pt>
                <c:pt idx="5">
                  <c:v>1.25</c:v>
                </c:pt>
                <c:pt idx="6">
                  <c:v>0.91666666666666663</c:v>
                </c:pt>
                <c:pt idx="7">
                  <c:v>14.083333333333334</c:v>
                </c:pt>
                <c:pt idx="8">
                  <c:v>4.583333333333333</c:v>
                </c:pt>
                <c:pt idx="9">
                  <c:v>1.4166666666666667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404-E949-848F-D94F4508799F}"/>
            </c:ext>
          </c:extLst>
        </c:ser>
        <c:ser>
          <c:idx val="3"/>
          <c:order val="3"/>
          <c:tx>
            <c:strRef>
              <c:f>'Horas Estimadas'!$I$12</c:f>
              <c:strCache>
                <c:ptCount val="1"/>
                <c:pt idx="0">
                  <c:v>Desarrollo</c:v>
                </c:pt>
              </c:strCache>
            </c:strRef>
          </c:tx>
          <c:spPr>
            <a:solidFill>
              <a:srgbClr val="FFC000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txPr>
              <a:bodyPr anchorCtr="1"/>
              <a:lstStyle/>
              <a:p>
                <a:pPr>
                  <a:defRPr sz="900" b="0" i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'Horas Estimadas'!$J$8:$S$8</c:f>
              <c:strCache>
                <c:ptCount val="10"/>
                <c:pt idx="0">
                  <c:v>Total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strCache>
            </c:strRef>
          </c:cat>
          <c:val>
            <c:numRef>
              <c:f>'Horas Estimadas'!$J$12:$S$12</c:f>
              <c:numCache>
                <c:formatCode>0.00</c:formatCode>
                <c:ptCount val="10"/>
                <c:pt idx="0">
                  <c:v>34.75</c:v>
                </c:pt>
                <c:pt idx="1">
                  <c:v>2.6666666666666665</c:v>
                </c:pt>
                <c:pt idx="2">
                  <c:v>0.41666666666666669</c:v>
                </c:pt>
                <c:pt idx="3">
                  <c:v>3</c:v>
                </c:pt>
                <c:pt idx="4">
                  <c:v>1.4166666666666667</c:v>
                </c:pt>
                <c:pt idx="5">
                  <c:v>4.25</c:v>
                </c:pt>
                <c:pt idx="6">
                  <c:v>2.9166666666666665</c:v>
                </c:pt>
                <c:pt idx="7">
                  <c:v>14.083333333333334</c:v>
                </c:pt>
                <c:pt idx="8">
                  <c:v>4.583333333333333</c:v>
                </c:pt>
                <c:pt idx="9">
                  <c:v>1.4166666666666667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2404-E949-848F-D94F4508799F}"/>
            </c:ext>
          </c:extLst>
        </c:ser>
        <c:ser>
          <c:idx val="4"/>
          <c:order val="4"/>
          <c:tx>
            <c:strRef>
              <c:f>'Horas Estimadas'!$I$13</c:f>
              <c:strCache>
                <c:ptCount val="1"/>
                <c:pt idx="0">
                  <c:v>Cambios</c:v>
                </c:pt>
              </c:strCache>
            </c:strRef>
          </c:tx>
          <c:spPr>
            <a:solidFill>
              <a:srgbClr val="5B9BD5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txPr>
              <a:bodyPr anchorCtr="1"/>
              <a:lstStyle/>
              <a:p>
                <a:pPr>
                  <a:defRPr sz="900" b="0" i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'Horas Estimadas'!$J$8:$S$8</c:f>
              <c:strCache>
                <c:ptCount val="10"/>
                <c:pt idx="0">
                  <c:v>Total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strCache>
            </c:strRef>
          </c:cat>
          <c:val>
            <c:numRef>
              <c:f>'Horas Estimadas'!$J$13:$S$13</c:f>
              <c:numCache>
                <c:formatCode>0.00</c:formatCode>
                <c:ptCount val="10"/>
                <c:pt idx="0">
                  <c:v>2.6666666666666665</c:v>
                </c:pt>
                <c:pt idx="1">
                  <c:v>2.6666666666666665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2404-E949-848F-D94F4508799F}"/>
            </c:ext>
          </c:extLst>
        </c:ser>
        <c:ser>
          <c:idx val="5"/>
          <c:order val="5"/>
          <c:tx>
            <c:strRef>
              <c:f>'Horas Estimadas'!$I$14</c:f>
              <c:strCache>
                <c:ptCount val="1"/>
                <c:pt idx="0">
                  <c:v>Calidad</c:v>
                </c:pt>
              </c:strCache>
            </c:strRef>
          </c:tx>
          <c:spPr>
            <a:solidFill>
              <a:srgbClr val="70AD47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txPr>
              <a:bodyPr anchorCtr="1"/>
              <a:lstStyle/>
              <a:p>
                <a:pPr>
                  <a:defRPr sz="900" b="0" i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'Horas Estimadas'!$J$8:$S$8</c:f>
              <c:strCache>
                <c:ptCount val="10"/>
                <c:pt idx="0">
                  <c:v>Total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strCache>
            </c:strRef>
          </c:cat>
          <c:val>
            <c:numRef>
              <c:f>'Horas Estimadas'!$J$14:$S$14</c:f>
              <c:numCache>
                <c:formatCode>0.00</c:formatCode>
                <c:ptCount val="10"/>
                <c:pt idx="0">
                  <c:v>2.6666666666666665</c:v>
                </c:pt>
                <c:pt idx="1">
                  <c:v>2.6666666666666665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2404-E949-848F-D94F450879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0"/>
        <c:axId val="100"/>
        <c:axId val="0"/>
      </c:bar3D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s-ES" sz="1000" b="0" i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Semanas</a:t>
                </a:r>
              </a:p>
            </c:rich>
          </c:tx>
          <c:layout>
            <c:manualLayout>
              <c:xMode val="edge"/>
              <c:yMode val="edge"/>
              <c:x val="0.3831260281183515"/>
              <c:y val="0.94480260843683217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 rot="-60000000" spcFirstLastPara="1" vert="horz" wrap="square" anchor="ctr" anchorCtr="1"/>
          <a:lstStyle/>
          <a:p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E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s-ES" sz="1000" b="0" i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Horas</a:t>
                </a:r>
              </a:p>
            </c:rich>
          </c:tx>
          <c:layout>
            <c:manualLayout>
              <c:xMode val="edge"/>
              <c:yMode val="edge"/>
              <c:x val="5.2069396617901865E-4"/>
              <c:y val="0.44240847471385658"/>
            </c:manualLayout>
          </c:layout>
          <c:overlay val="1"/>
        </c:title>
        <c:numFmt formatCode="0%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 rot="-60000000" vert="horz" anchor="ctr" anchorCtr="1"/>
          <a:lstStyle/>
          <a:p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ES"/>
          </a:p>
        </c:txPr>
        <c:crossAx val="10"/>
        <c:crosses val="autoZero"/>
        <c:crossBetween val="between"/>
      </c:valAx>
    </c:plotArea>
    <c:legend>
      <c:legendPos val="b"/>
      <c:overlay val="0"/>
      <c:spPr>
        <a:noFill/>
      </c:spPr>
      <c:txPr>
        <a:bodyPr rot="0" vert="horz" anchor="ctr" anchorCtr="1"/>
        <a:lstStyle/>
        <a:p>
          <a:pPr>
            <a:defRPr sz="900" b="0" i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es-ES"/>
        </a:p>
      </c:txPr>
    </c:legend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1"/>
  <c:style val="2"/>
  <c:chart>
    <c:title>
      <c:tx>
        <c:rich>
          <a:bodyPr/>
          <a:lstStyle/>
          <a:p>
            <a:r>
              <a:rPr lang="es-ES" sz="1400" b="0" i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Carga de horas estimadas por fase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'Horas Estimadas'!$I$26</c:f>
              <c:strCache>
                <c:ptCount val="1"/>
                <c:pt idx="0">
                  <c:v>Lanzamiento</c:v>
                </c:pt>
              </c:strCache>
            </c:strRef>
          </c:tx>
          <c:spPr>
            <a:solidFill>
              <a:srgbClr val="4472C4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txPr>
              <a:bodyPr anchorCtr="1"/>
              <a:lstStyle/>
              <a:p>
                <a:pPr>
                  <a:defRPr sz="900" b="0" i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'Horas Estimadas'!$J$25</c:f>
              <c:strCache>
                <c:ptCount val="1"/>
                <c:pt idx="0">
                  <c:v>Horas</c:v>
                </c:pt>
              </c:strCache>
            </c:strRef>
          </c:cat>
          <c:val>
            <c:numRef>
              <c:f>'Horas Estimadas'!$J$26</c:f>
              <c:numCache>
                <c:formatCode>0.00</c:formatCode>
                <c:ptCount val="1"/>
                <c:pt idx="0">
                  <c:v>16.916666666666668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E3D-554E-A0C5-4D9D07E8DB08}"/>
            </c:ext>
          </c:extLst>
        </c:ser>
        <c:ser>
          <c:idx val="1"/>
          <c:order val="1"/>
          <c:tx>
            <c:strRef>
              <c:f>'Horas Estimadas'!$I$27</c:f>
              <c:strCache>
                <c:ptCount val="1"/>
                <c:pt idx="0">
                  <c:v>Requisitos</c:v>
                </c:pt>
              </c:strCache>
            </c:strRef>
          </c:tx>
          <c:spPr>
            <a:solidFill>
              <a:srgbClr val="ED7D31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txPr>
              <a:bodyPr anchorCtr="1"/>
              <a:lstStyle/>
              <a:p>
                <a:pPr>
                  <a:defRPr sz="900" b="0" i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'Horas Estimadas'!$J$25</c:f>
              <c:strCache>
                <c:ptCount val="1"/>
                <c:pt idx="0">
                  <c:v>Horas</c:v>
                </c:pt>
              </c:strCache>
            </c:strRef>
          </c:cat>
          <c:val>
            <c:numRef>
              <c:f>'Horas Estimadas'!$J$27</c:f>
              <c:numCache>
                <c:formatCode>0.00</c:formatCode>
                <c:ptCount val="1"/>
                <c:pt idx="0">
                  <c:v>12.5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E3D-554E-A0C5-4D9D07E8DB08}"/>
            </c:ext>
          </c:extLst>
        </c:ser>
        <c:ser>
          <c:idx val="2"/>
          <c:order val="2"/>
          <c:tx>
            <c:strRef>
              <c:f>'Horas Estimadas'!$I$28</c:f>
              <c:strCache>
                <c:ptCount val="1"/>
                <c:pt idx="0">
                  <c:v>Estrategia</c:v>
                </c:pt>
              </c:strCache>
            </c:strRef>
          </c:tx>
          <c:spPr>
            <a:solidFill>
              <a:srgbClr val="A5A5A5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txPr>
              <a:bodyPr anchorCtr="1"/>
              <a:lstStyle/>
              <a:p>
                <a:pPr>
                  <a:defRPr sz="900" b="0" i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'Horas Estimadas'!$J$25</c:f>
              <c:strCache>
                <c:ptCount val="1"/>
                <c:pt idx="0">
                  <c:v>Horas</c:v>
                </c:pt>
              </c:strCache>
            </c:strRef>
          </c:cat>
          <c:val>
            <c:numRef>
              <c:f>'Horas Estimadas'!$J$28</c:f>
              <c:numCache>
                <c:formatCode>0.00</c:formatCode>
                <c:ptCount val="1"/>
                <c:pt idx="0">
                  <c:v>10.25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E3D-554E-A0C5-4D9D07E8DB08}"/>
            </c:ext>
          </c:extLst>
        </c:ser>
        <c:ser>
          <c:idx val="3"/>
          <c:order val="3"/>
          <c:tx>
            <c:strRef>
              <c:f>'Horas Estimadas'!$I$29</c:f>
              <c:strCache>
                <c:ptCount val="1"/>
                <c:pt idx="0">
                  <c:v>Planificación</c:v>
                </c:pt>
              </c:strCache>
            </c:strRef>
          </c:tx>
          <c:spPr>
            <a:solidFill>
              <a:srgbClr val="FFC000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txPr>
              <a:bodyPr anchorCtr="1"/>
              <a:lstStyle/>
              <a:p>
                <a:pPr>
                  <a:defRPr sz="900" b="0" i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'Horas Estimadas'!$J$25</c:f>
              <c:strCache>
                <c:ptCount val="1"/>
                <c:pt idx="0">
                  <c:v>Horas</c:v>
                </c:pt>
              </c:strCache>
            </c:strRef>
          </c:cat>
          <c:val>
            <c:numRef>
              <c:f>'Horas Estimadas'!$J$29</c:f>
              <c:numCache>
                <c:formatCode>0.00</c:formatCode>
                <c:ptCount val="1"/>
                <c:pt idx="0">
                  <c:v>7.666666666666667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CE3D-554E-A0C5-4D9D07E8DB08}"/>
            </c:ext>
          </c:extLst>
        </c:ser>
        <c:ser>
          <c:idx val="4"/>
          <c:order val="4"/>
          <c:tx>
            <c:strRef>
              <c:f>'Horas Estimadas'!$I$30</c:f>
              <c:strCache>
                <c:ptCount val="1"/>
                <c:pt idx="0">
                  <c:v>Diseño</c:v>
                </c:pt>
              </c:strCache>
            </c:strRef>
          </c:tx>
          <c:spPr>
            <a:solidFill>
              <a:srgbClr val="5B9BD5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txPr>
              <a:bodyPr anchorCtr="1"/>
              <a:lstStyle/>
              <a:p>
                <a:pPr>
                  <a:defRPr sz="900" b="0" i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'Horas Estimadas'!$J$25</c:f>
              <c:strCache>
                <c:ptCount val="1"/>
                <c:pt idx="0">
                  <c:v>Horas</c:v>
                </c:pt>
              </c:strCache>
            </c:strRef>
          </c:cat>
          <c:val>
            <c:numRef>
              <c:f>'Horas Estimadas'!$J$30</c:f>
              <c:numCache>
                <c:formatCode>0.00</c:formatCode>
                <c:ptCount val="1"/>
                <c:pt idx="0">
                  <c:v>5.5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CE3D-554E-A0C5-4D9D07E8DB08}"/>
            </c:ext>
          </c:extLst>
        </c:ser>
        <c:ser>
          <c:idx val="5"/>
          <c:order val="5"/>
          <c:tx>
            <c:strRef>
              <c:f>'Horas Estimadas'!$I$31</c:f>
              <c:strCache>
                <c:ptCount val="1"/>
                <c:pt idx="0">
                  <c:v>Implementación</c:v>
                </c:pt>
              </c:strCache>
            </c:strRef>
          </c:tx>
          <c:spPr>
            <a:solidFill>
              <a:srgbClr val="70AD47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txPr>
              <a:bodyPr anchorCtr="1"/>
              <a:lstStyle/>
              <a:p>
                <a:pPr>
                  <a:defRPr sz="900" b="0" i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'Horas Estimadas'!$J$25</c:f>
              <c:strCache>
                <c:ptCount val="1"/>
                <c:pt idx="0">
                  <c:v>Horas</c:v>
                </c:pt>
              </c:strCache>
            </c:strRef>
          </c:cat>
          <c:val>
            <c:numRef>
              <c:f>'Horas Estimadas'!$J$31</c:f>
              <c:numCache>
                <c:formatCode>0.00</c:formatCode>
                <c:ptCount val="1"/>
                <c:pt idx="0">
                  <c:v>56.333333333333336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CE3D-554E-A0C5-4D9D07E8DB08}"/>
            </c:ext>
          </c:extLst>
        </c:ser>
        <c:ser>
          <c:idx val="6"/>
          <c:order val="6"/>
          <c:tx>
            <c:strRef>
              <c:f>'Horas Estimadas'!$I$32</c:f>
              <c:strCache>
                <c:ptCount val="1"/>
                <c:pt idx="0">
                  <c:v>Pruebas</c:v>
                </c:pt>
              </c:strCache>
            </c:strRef>
          </c:tx>
          <c:spPr>
            <a:solidFill>
              <a:srgbClr val="264478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txPr>
              <a:bodyPr anchorCtr="1"/>
              <a:lstStyle/>
              <a:p>
                <a:pPr>
                  <a:defRPr sz="900" b="0" i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'Horas Estimadas'!$J$25</c:f>
              <c:strCache>
                <c:ptCount val="1"/>
                <c:pt idx="0">
                  <c:v>Horas</c:v>
                </c:pt>
              </c:strCache>
            </c:strRef>
          </c:cat>
          <c:val>
            <c:numRef>
              <c:f>'Horas Estimadas'!$J$32</c:f>
              <c:numCache>
                <c:formatCode>0.00</c:formatCode>
                <c:ptCount val="1"/>
                <c:pt idx="0">
                  <c:v>18.333333333333332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CE3D-554E-A0C5-4D9D07E8DB08}"/>
            </c:ext>
          </c:extLst>
        </c:ser>
        <c:ser>
          <c:idx val="7"/>
          <c:order val="7"/>
          <c:tx>
            <c:strRef>
              <c:f>'Horas Estimadas'!$I$33</c:f>
              <c:strCache>
                <c:ptCount val="1"/>
                <c:pt idx="0">
                  <c:v>Retrospectiva</c:v>
                </c:pt>
              </c:strCache>
            </c:strRef>
          </c:tx>
          <c:spPr>
            <a:solidFill>
              <a:srgbClr val="9E480E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txPr>
              <a:bodyPr anchorCtr="1"/>
              <a:lstStyle/>
              <a:p>
                <a:pPr>
                  <a:defRPr sz="900" b="0" i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lt"/>
                    <a:cs typeface="+mn-lt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'Horas Estimadas'!$J$25</c:f>
              <c:strCache>
                <c:ptCount val="1"/>
                <c:pt idx="0">
                  <c:v>Horas</c:v>
                </c:pt>
              </c:strCache>
            </c:strRef>
          </c:cat>
          <c:val>
            <c:numRef>
              <c:f>'Horas Estimadas'!$J$33</c:f>
              <c:numCache>
                <c:formatCode>0.00</c:formatCode>
                <c:ptCount val="1"/>
                <c:pt idx="0">
                  <c:v>8.6666666666666661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CE3D-554E-A0C5-4D9D07E8DB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s-ES" sz="1000" b="0" i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Fase</a:t>
                </a:r>
              </a:p>
            </c:rich>
          </c:tx>
          <c:layout>
            <c:manualLayout>
              <c:xMode val="edge"/>
              <c:yMode val="edge"/>
              <c:x val="0.39580906591429271"/>
              <c:y val="0.94627194568876771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  <a:prstDash val="solid"/>
          </a:ln>
        </c:spPr>
        <c:txPr>
          <a:bodyPr rot="-60000000" spcFirstLastPara="1" vert="horz" wrap="square" anchor="ctr" anchorCtr="1"/>
          <a:lstStyle/>
          <a:p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E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s-ES" sz="1000" b="0" i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Horas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 rot="-60000000" vert="horz" anchor="ctr" anchorCtr="1"/>
          <a:lstStyle/>
          <a:p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ES"/>
          </a:p>
        </c:txPr>
        <c:crossAx val="10"/>
        <c:crosses val="autoZero"/>
        <c:crossBetween val="between"/>
        <c:majorUnit val="10"/>
      </c:valAx>
    </c:plotArea>
    <c:legend>
      <c:legendPos val="b"/>
      <c:overlay val="0"/>
      <c:spPr>
        <a:noFill/>
      </c:spPr>
      <c:txPr>
        <a:bodyPr rot="0" vert="horz" anchor="ctr" anchorCtr="1"/>
        <a:lstStyle/>
        <a:p>
          <a:pPr>
            <a:defRPr sz="900" b="0" i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es-ES"/>
        </a:p>
      </c:txPr>
    </c:legend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1"/>
  <c:style val="2"/>
  <c:chart>
    <c:title>
      <c:tx>
        <c:rich>
          <a:bodyPr/>
          <a:lstStyle/>
          <a:p>
            <a:r>
              <a:rPr lang="es-ES" sz="1400" b="0" i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Carga de horas reales por Rol/Semana</a:t>
            </a:r>
          </a:p>
        </c:rich>
      </c:tx>
      <c:layout>
        <c:manualLayout>
          <c:xMode val="edge"/>
          <c:yMode val="edge"/>
          <c:x val="0.25186214194751849"/>
          <c:y val="0"/>
        </c:manualLayout>
      </c:layout>
      <c:overlay val="1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percentStacked"/>
        <c:varyColors val="1"/>
        <c:ser>
          <c:idx val="0"/>
          <c:order val="0"/>
          <c:tx>
            <c:strRef>
              <c:f>'Horas Reales'!$I$9</c:f>
              <c:strCache>
                <c:ptCount val="1"/>
                <c:pt idx="0">
                  <c:v>Líder / Scrum Master</c:v>
                </c:pt>
              </c:strCache>
            </c:strRef>
          </c:tx>
          <c:spPr>
            <a:solidFill>
              <a:srgbClr val="4472C4"/>
            </a:solidFill>
            <a:ln>
              <a:noFill/>
              <a:prstDash val="solid"/>
            </a:ln>
          </c:spPr>
          <c:invertIfNegative val="1"/>
          <c:cat>
            <c:strRef>
              <c:f>'Horas Reales'!$J$8:$S$8</c:f>
              <c:strCache>
                <c:ptCount val="10"/>
                <c:pt idx="0">
                  <c:v>Total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strCache>
            </c:strRef>
          </c:cat>
          <c:val>
            <c:numRef>
              <c:f>'Horas Reales'!$J$9:$S$9</c:f>
              <c:numCache>
                <c:formatCode>0.00</c:formatCode>
                <c:ptCount val="10"/>
                <c:pt idx="0">
                  <c:v>9.5833333333333339</c:v>
                </c:pt>
                <c:pt idx="1">
                  <c:v>1.5</c:v>
                </c:pt>
                <c:pt idx="2">
                  <c:v>2.75</c:v>
                </c:pt>
                <c:pt idx="3">
                  <c:v>1.4166666666666667</c:v>
                </c:pt>
                <c:pt idx="4">
                  <c:v>1.75</c:v>
                </c:pt>
                <c:pt idx="5">
                  <c:v>2.1666666666666665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76F-BB42-928A-D369878320C7}"/>
            </c:ext>
          </c:extLst>
        </c:ser>
        <c:ser>
          <c:idx val="1"/>
          <c:order val="1"/>
          <c:tx>
            <c:strRef>
              <c:f>'Horas Reales'!$I$10</c:f>
              <c:strCache>
                <c:ptCount val="1"/>
                <c:pt idx="0">
                  <c:v>Product Owner</c:v>
                </c:pt>
              </c:strCache>
            </c:strRef>
          </c:tx>
          <c:spPr>
            <a:solidFill>
              <a:srgbClr val="ED7D31"/>
            </a:solidFill>
            <a:ln>
              <a:noFill/>
              <a:prstDash val="solid"/>
            </a:ln>
          </c:spPr>
          <c:invertIfNegative val="1"/>
          <c:cat>
            <c:strRef>
              <c:f>'Horas Reales'!$J$8:$S$8</c:f>
              <c:strCache>
                <c:ptCount val="10"/>
                <c:pt idx="0">
                  <c:v>Total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strCache>
            </c:strRef>
          </c:cat>
          <c:val>
            <c:numRef>
              <c:f>'Horas Reales'!$J$10:$S$10</c:f>
              <c:numCache>
                <c:formatCode>0.00</c:formatCode>
                <c:ptCount val="10"/>
                <c:pt idx="0">
                  <c:v>10.833333333333334</c:v>
                </c:pt>
                <c:pt idx="1">
                  <c:v>1.5</c:v>
                </c:pt>
                <c:pt idx="2">
                  <c:v>0.75</c:v>
                </c:pt>
                <c:pt idx="3">
                  <c:v>0.75</c:v>
                </c:pt>
                <c:pt idx="4">
                  <c:v>2.5</c:v>
                </c:pt>
                <c:pt idx="5">
                  <c:v>5</c:v>
                </c:pt>
                <c:pt idx="6">
                  <c:v>0.33333333333333331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76F-BB42-928A-D369878320C7}"/>
            </c:ext>
          </c:extLst>
        </c:ser>
        <c:ser>
          <c:idx val="2"/>
          <c:order val="2"/>
          <c:tx>
            <c:strRef>
              <c:f>'Horas Reales'!$I$11</c:f>
              <c:strCache>
                <c:ptCount val="1"/>
                <c:pt idx="0">
                  <c:v>Planificación</c:v>
                </c:pt>
              </c:strCache>
            </c:strRef>
          </c:tx>
          <c:spPr>
            <a:solidFill>
              <a:srgbClr val="A5A5A5"/>
            </a:solidFill>
            <a:ln>
              <a:noFill/>
              <a:prstDash val="solid"/>
            </a:ln>
          </c:spPr>
          <c:invertIfNegative val="1"/>
          <c:cat>
            <c:strRef>
              <c:f>'Horas Reales'!$J$8:$S$8</c:f>
              <c:strCache>
                <c:ptCount val="10"/>
                <c:pt idx="0">
                  <c:v>Total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strCache>
            </c:strRef>
          </c:cat>
          <c:val>
            <c:numRef>
              <c:f>'Horas Reales'!$J$11:$S$11</c:f>
              <c:numCache>
                <c:formatCode>0.00</c:formatCode>
                <c:ptCount val="10"/>
                <c:pt idx="0">
                  <c:v>7.3333333333333339</c:v>
                </c:pt>
                <c:pt idx="1">
                  <c:v>1.4166666666666667</c:v>
                </c:pt>
                <c:pt idx="2">
                  <c:v>0.25</c:v>
                </c:pt>
                <c:pt idx="3">
                  <c:v>0.75</c:v>
                </c:pt>
                <c:pt idx="4">
                  <c:v>1.75</c:v>
                </c:pt>
                <c:pt idx="5">
                  <c:v>0.83333333333333337</c:v>
                </c:pt>
                <c:pt idx="6">
                  <c:v>2.3333333333333335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76F-BB42-928A-D369878320C7}"/>
            </c:ext>
          </c:extLst>
        </c:ser>
        <c:ser>
          <c:idx val="3"/>
          <c:order val="3"/>
          <c:tx>
            <c:strRef>
              <c:f>'Horas Reales'!$I$12</c:f>
              <c:strCache>
                <c:ptCount val="1"/>
                <c:pt idx="0">
                  <c:v>Desarrollo</c:v>
                </c:pt>
              </c:strCache>
            </c:strRef>
          </c:tx>
          <c:spPr>
            <a:solidFill>
              <a:srgbClr val="FFC000"/>
            </a:solidFill>
            <a:ln>
              <a:noFill/>
              <a:prstDash val="solid"/>
            </a:ln>
          </c:spPr>
          <c:invertIfNegative val="1"/>
          <c:cat>
            <c:strRef>
              <c:f>'Horas Reales'!$J$8:$S$8</c:f>
              <c:strCache>
                <c:ptCount val="10"/>
                <c:pt idx="0">
                  <c:v>Total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strCache>
            </c:strRef>
          </c:cat>
          <c:val>
            <c:numRef>
              <c:f>'Horas Reales'!$J$12:$S$12</c:f>
              <c:numCache>
                <c:formatCode>0.00</c:formatCode>
                <c:ptCount val="10"/>
                <c:pt idx="0">
                  <c:v>17.083333333333332</c:v>
                </c:pt>
                <c:pt idx="1">
                  <c:v>1.4166666666666667</c:v>
                </c:pt>
                <c:pt idx="2">
                  <c:v>0.25</c:v>
                </c:pt>
                <c:pt idx="3">
                  <c:v>0.75</c:v>
                </c:pt>
                <c:pt idx="4">
                  <c:v>4.75</c:v>
                </c:pt>
                <c:pt idx="5">
                  <c:v>6.583333333333333</c:v>
                </c:pt>
                <c:pt idx="6">
                  <c:v>3.3333333333333335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B76F-BB42-928A-D369878320C7}"/>
            </c:ext>
          </c:extLst>
        </c:ser>
        <c:ser>
          <c:idx val="4"/>
          <c:order val="4"/>
          <c:tx>
            <c:strRef>
              <c:f>'Horas Reales'!$I$13</c:f>
              <c:strCache>
                <c:ptCount val="1"/>
                <c:pt idx="0">
                  <c:v>Cambios</c:v>
                </c:pt>
              </c:strCache>
            </c:strRef>
          </c:tx>
          <c:spPr>
            <a:solidFill>
              <a:srgbClr val="5B9BD5"/>
            </a:solidFill>
            <a:ln>
              <a:noFill/>
              <a:prstDash val="solid"/>
            </a:ln>
          </c:spPr>
          <c:invertIfNegative val="1"/>
          <c:cat>
            <c:strRef>
              <c:f>'Horas Reales'!$J$8:$S$8</c:f>
              <c:strCache>
                <c:ptCount val="10"/>
                <c:pt idx="0">
                  <c:v>Total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strCache>
            </c:strRef>
          </c:cat>
          <c:val>
            <c:numRef>
              <c:f>'Horas Reales'!$J$13:$S$13</c:f>
              <c:numCache>
                <c:formatCode>0.00</c:formatCode>
                <c:ptCount val="10"/>
                <c:pt idx="0">
                  <c:v>1.4166666666666667</c:v>
                </c:pt>
                <c:pt idx="1">
                  <c:v>1.25</c:v>
                </c:pt>
                <c:pt idx="2">
                  <c:v>0.16666666666666666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B76F-BB42-928A-D369878320C7}"/>
            </c:ext>
          </c:extLst>
        </c:ser>
        <c:ser>
          <c:idx val="5"/>
          <c:order val="5"/>
          <c:tx>
            <c:strRef>
              <c:f>'Horas Reales'!$I$14</c:f>
              <c:strCache>
                <c:ptCount val="1"/>
                <c:pt idx="0">
                  <c:v>Calidad</c:v>
                </c:pt>
              </c:strCache>
            </c:strRef>
          </c:tx>
          <c:spPr>
            <a:solidFill>
              <a:srgbClr val="70AD47"/>
            </a:solidFill>
            <a:ln>
              <a:noFill/>
              <a:prstDash val="solid"/>
            </a:ln>
          </c:spPr>
          <c:invertIfNegative val="1"/>
          <c:cat>
            <c:strRef>
              <c:f>'Horas Reales'!$J$8:$S$8</c:f>
              <c:strCache>
                <c:ptCount val="10"/>
                <c:pt idx="0">
                  <c:v>Total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strCache>
            </c:strRef>
          </c:cat>
          <c:val>
            <c:numRef>
              <c:f>'Horas Reales'!$J$14:$S$14</c:f>
              <c:numCache>
                <c:formatCode>0.00</c:formatCode>
                <c:ptCount val="10"/>
                <c:pt idx="0">
                  <c:v>1.6666666666666667</c:v>
                </c:pt>
                <c:pt idx="1">
                  <c:v>1.1666666666666667</c:v>
                </c:pt>
                <c:pt idx="2">
                  <c:v>0.5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B76F-BB42-928A-D36987832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"/>
        <c:axId val="100"/>
        <c:axId val="0"/>
      </c:bar3D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s-ES" sz="1000" b="0" i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Semana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 rot="-60000000" spcFirstLastPara="1" vert="horz" wrap="square" anchor="ctr" anchorCtr="1"/>
          <a:lstStyle/>
          <a:p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E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s-ES" sz="1000" b="0" i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Horas</a:t>
                </a:r>
              </a:p>
            </c:rich>
          </c:tx>
          <c:overlay val="1"/>
        </c:title>
        <c:numFmt formatCode="0%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 rot="-60000000" vert="horz" anchor="ctr" anchorCtr="1"/>
          <a:lstStyle/>
          <a:p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ES"/>
          </a:p>
        </c:txPr>
        <c:crossAx val="10"/>
        <c:crosses val="autoZero"/>
        <c:crossBetween val="between"/>
      </c:valAx>
    </c:plotArea>
    <c:legend>
      <c:legendPos val="b"/>
      <c:overlay val="0"/>
      <c:spPr>
        <a:noFill/>
      </c:spPr>
      <c:txPr>
        <a:bodyPr rot="0" vert="horz" anchor="ctr" anchorCtr="1"/>
        <a:lstStyle/>
        <a:p>
          <a:pPr>
            <a:defRPr sz="900" b="0" i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es-ES"/>
        </a:p>
      </c:txPr>
    </c:legend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1"/>
  <c:style val="2"/>
  <c:chart>
    <c:title>
      <c:tx>
        <c:rich>
          <a:bodyPr/>
          <a:lstStyle/>
          <a:p>
            <a:r>
              <a:rPr lang="es-ES" sz="1400" b="0" i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Horas reales por fase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'Horas Reales'!$J$25</c:f>
              <c:strCache>
                <c:ptCount val="1"/>
                <c:pt idx="0">
                  <c:v>Horas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B1E-5349-AE82-821DD99243E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B1E-5349-AE82-821DD99243E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B1E-5349-AE82-821DD99243E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B1E-5349-AE82-821DD99243E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B1E-5349-AE82-821DD99243E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3B1E-5349-AE82-821DD99243E3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3B1E-5349-AE82-821DD99243E3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3B1E-5349-AE82-821DD99243E3}"/>
              </c:ext>
            </c:extLst>
          </c:dPt>
          <c:cat>
            <c:strRef>
              <c:f>'Horas Reales'!$I$26:$I$33</c:f>
              <c:strCache>
                <c:ptCount val="8"/>
                <c:pt idx="0">
                  <c:v>Lanzamiento</c:v>
                </c:pt>
                <c:pt idx="1">
                  <c:v>Requisitos</c:v>
                </c:pt>
                <c:pt idx="2">
                  <c:v>Estrategia</c:v>
                </c:pt>
                <c:pt idx="3">
                  <c:v>Planificación</c:v>
                </c:pt>
                <c:pt idx="4">
                  <c:v>Diseño</c:v>
                </c:pt>
                <c:pt idx="5">
                  <c:v>Implementación</c:v>
                </c:pt>
                <c:pt idx="6">
                  <c:v>Pruebas</c:v>
                </c:pt>
                <c:pt idx="7">
                  <c:v>Retrospectiva</c:v>
                </c:pt>
              </c:strCache>
            </c:strRef>
          </c:cat>
          <c:val>
            <c:numRef>
              <c:f>'Horas Reales'!$J$26:$J$33</c:f>
              <c:numCache>
                <c:formatCode>0.00</c:formatCode>
                <c:ptCount val="8"/>
                <c:pt idx="0">
                  <c:v>13.583333333333334</c:v>
                </c:pt>
                <c:pt idx="1">
                  <c:v>15.583333333333334</c:v>
                </c:pt>
                <c:pt idx="2">
                  <c:v>10.5</c:v>
                </c:pt>
                <c:pt idx="3">
                  <c:v>7.416666666666667</c:v>
                </c:pt>
                <c:pt idx="4">
                  <c:v>2.8333333333333335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B1E-5349-AE82-821DD9924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s-ES" sz="1000" b="0" i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Fase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  <a:prstDash val="solid"/>
          </a:ln>
        </c:spPr>
        <c:txPr>
          <a:bodyPr rot="-60000000" spcFirstLastPara="1" vert="horz" wrap="square" anchor="ctr" anchorCtr="1"/>
          <a:lstStyle/>
          <a:p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E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s-ES" sz="1000" b="0" i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Horas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 rot="-60000000" vert="horz" anchor="ctr" anchorCtr="1"/>
          <a:lstStyle/>
          <a:p>
            <a:pPr>
              <a:defRPr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ES"/>
          </a:p>
        </c:txPr>
        <c:crossAx val="10"/>
        <c:crosses val="autoZero"/>
        <c:crossBetween val="between"/>
        <c:majorUnit val="10"/>
      </c:valAx>
    </c:plotArea>
    <c:legend>
      <c:legendPos val="b"/>
      <c:overlay val="0"/>
      <c:spPr>
        <a:noFill/>
      </c:spPr>
      <c:txPr>
        <a:bodyPr rot="0" vert="horz" anchor="ctr" anchorCtr="1"/>
        <a:lstStyle/>
        <a:p>
          <a:pPr>
            <a:defRPr sz="900" b="0" i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es-ES"/>
        </a:p>
      </c:txPr>
    </c:legend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ES" sz="1400" b="0" i="0" u="non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Curvas S — PV, EV y AC acumulados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'Valor Ganado'!$E$19</c:f>
              <c:strCache>
                <c:ptCount val="1"/>
                <c:pt idx="0">
                  <c:v>PV acum. (h)</c:v>
                </c:pt>
              </c:strCache>
            </c:strRef>
          </c:tx>
          <c:spPr>
            <a:ln w="28575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'Valor Ganado'!$A$20:$A$28</c:f>
              <c:numCache>
                <c:formatCode>0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'Valor Ganado'!$E$20:$E$28</c:f>
              <c:numCache>
                <c:formatCode>0.00</c:formatCode>
                <c:ptCount val="9"/>
                <c:pt idx="0">
                  <c:v>16.916666666666668</c:v>
                </c:pt>
                <c:pt idx="1">
                  <c:v>18.583333333333332</c:v>
                </c:pt>
                <c:pt idx="2">
                  <c:v>29.416666666666668</c:v>
                </c:pt>
                <c:pt idx="3">
                  <c:v>39.666666666666664</c:v>
                </c:pt>
                <c:pt idx="4">
                  <c:v>47.333333333333336</c:v>
                </c:pt>
                <c:pt idx="5">
                  <c:v>52.833333333333336</c:v>
                </c:pt>
                <c:pt idx="6">
                  <c:v>109.16666666666667</c:v>
                </c:pt>
                <c:pt idx="7">
                  <c:v>127.5</c:v>
                </c:pt>
                <c:pt idx="8">
                  <c:v>136.16666666666666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DC-7244-B178-867F6A71CD51}"/>
            </c:ext>
          </c:extLst>
        </c:ser>
        <c:ser>
          <c:idx val="1"/>
          <c:order val="1"/>
          <c:tx>
            <c:strRef>
              <c:f>'Valor Ganado'!$F$19</c:f>
              <c:strCache>
                <c:ptCount val="1"/>
                <c:pt idx="0">
                  <c:v>EV acum. (h)</c:v>
                </c:pt>
              </c:strCache>
            </c:strRef>
          </c:tx>
          <c:spPr>
            <a:ln w="28575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'Valor Ganado'!$A$20:$A$28</c:f>
              <c:numCache>
                <c:formatCode>0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'Valor Ganado'!$F$20:$F$28</c:f>
              <c:numCache>
                <c:formatCode>0.00</c:formatCode>
                <c:ptCount val="9"/>
                <c:pt idx="0">
                  <c:v>7</c:v>
                </c:pt>
                <c:pt idx="1">
                  <c:v>16.333333333333332</c:v>
                </c:pt>
                <c:pt idx="2">
                  <c:v>19.583333333333332</c:v>
                </c:pt>
                <c:pt idx="3">
                  <c:v>28.25</c:v>
                </c:pt>
                <c:pt idx="4">
                  <c:v>40.5</c:v>
                </c:pt>
                <c:pt idx="5">
                  <c:v>47.5</c:v>
                </c:pt>
                <c:pt idx="6">
                  <c:v>47.5</c:v>
                </c:pt>
                <c:pt idx="7">
                  <c:v>47.5</c:v>
                </c:pt>
                <c:pt idx="8">
                  <c:v>47.5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DC-7244-B178-867F6A71CD51}"/>
            </c:ext>
          </c:extLst>
        </c:ser>
        <c:ser>
          <c:idx val="2"/>
          <c:order val="2"/>
          <c:tx>
            <c:strRef>
              <c:f>'Valor Ganado'!$G$19</c:f>
              <c:strCache>
                <c:ptCount val="1"/>
                <c:pt idx="0">
                  <c:v>AC acum. (h)</c:v>
                </c:pt>
              </c:strCache>
            </c:strRef>
          </c:tx>
          <c:spPr>
            <a:ln w="28575"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'Valor Ganado'!$A$20:$A$28</c:f>
              <c:numCache>
                <c:formatCode>0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'Valor Ganado'!$G$20:$G$28</c:f>
              <c:numCache>
                <c:formatCode>0.00</c:formatCode>
                <c:ptCount val="9"/>
                <c:pt idx="0">
                  <c:v>8.25</c:v>
                </c:pt>
                <c:pt idx="1">
                  <c:v>12.916666666666666</c:v>
                </c:pt>
                <c:pt idx="2">
                  <c:v>16.583333333333332</c:v>
                </c:pt>
                <c:pt idx="3">
                  <c:v>27.333333333333332</c:v>
                </c:pt>
                <c:pt idx="4">
                  <c:v>41.916666666666664</c:v>
                </c:pt>
                <c:pt idx="5">
                  <c:v>47.916666666666664</c:v>
                </c:pt>
                <c:pt idx="6">
                  <c:v>47.916666666666664</c:v>
                </c:pt>
                <c:pt idx="7">
                  <c:v>47.916666666666664</c:v>
                </c:pt>
                <c:pt idx="8">
                  <c:v>47.916666666666664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DC-7244-B178-867F6A71C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s-ES" sz="1000" b="0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Semana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spcFirstLastPara="1" vert="horz" wrap="square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E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r>
                  <a:rPr lang="es-ES" sz="1000" b="0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Horas</a:t>
                </a:r>
              </a:p>
            </c:rich>
          </c:tx>
          <c:layout>
            <c:manualLayout>
              <c:xMode val="edge"/>
              <c:yMode val="edge"/>
              <c:x val="9.46969696969697E-4"/>
              <c:y val="0.369242782152231"/>
            </c:manualLayout>
          </c:layout>
          <c:overlay val="1"/>
        </c:title>
        <c:numFmt formatCode="0.00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ES"/>
          </a:p>
        </c:txPr>
        <c:crossAx val="1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es-ES"/>
        </a:p>
      </c:txPr>
    </c:legend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ES" sz="1400" b="0" i="0" u="non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SPI y CPI por semana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'Valor Ganado'!$J$19</c:f>
              <c:strCache>
                <c:ptCount val="1"/>
                <c:pt idx="0">
                  <c:v>SPI</c:v>
                </c:pt>
              </c:strCache>
            </c:strRef>
          </c:tx>
          <c:spPr>
            <a:ln w="28575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'Valor Ganado'!$A$20:$A$28</c:f>
              <c:numCache>
                <c:formatCode>0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'Valor Ganado'!$J$20:$J$28</c:f>
              <c:numCache>
                <c:formatCode>0.00</c:formatCode>
                <c:ptCount val="9"/>
                <c:pt idx="0">
                  <c:v>0.41379310344827586</c:v>
                </c:pt>
                <c:pt idx="1">
                  <c:v>0.87892376681614348</c:v>
                </c:pt>
                <c:pt idx="2">
                  <c:v>0.66572237960339942</c:v>
                </c:pt>
                <c:pt idx="3">
                  <c:v>0.71218487394957986</c:v>
                </c:pt>
                <c:pt idx="4">
                  <c:v>0.85563380281690138</c:v>
                </c:pt>
                <c:pt idx="5">
                  <c:v>0.89905362776025233</c:v>
                </c:pt>
                <c:pt idx="6">
                  <c:v>0.4351145038167939</c:v>
                </c:pt>
                <c:pt idx="7">
                  <c:v>0.37254901960784315</c:v>
                </c:pt>
                <c:pt idx="8">
                  <c:v>0.34883720930232559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73-D549-A796-D159BFB25F46}"/>
            </c:ext>
          </c:extLst>
        </c:ser>
        <c:ser>
          <c:idx val="1"/>
          <c:order val="1"/>
          <c:tx>
            <c:strRef>
              <c:f>'Valor Ganado'!$K$19</c:f>
              <c:strCache>
                <c:ptCount val="1"/>
                <c:pt idx="0">
                  <c:v>CPI</c:v>
                </c:pt>
              </c:strCache>
            </c:strRef>
          </c:tx>
          <c:spPr>
            <a:ln w="28575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'Valor Ganado'!$A$20:$A$28</c:f>
              <c:numCache>
                <c:formatCode>0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cat>
          <c:val>
            <c:numRef>
              <c:f>'Valor Ganado'!$K$20:$K$28</c:f>
              <c:numCache>
                <c:formatCode>0.00</c:formatCode>
                <c:ptCount val="9"/>
                <c:pt idx="0">
                  <c:v>0.84848484848484851</c:v>
                </c:pt>
                <c:pt idx="1">
                  <c:v>1.264516129032258</c:v>
                </c:pt>
                <c:pt idx="2">
                  <c:v>1.1809045226130654</c:v>
                </c:pt>
                <c:pt idx="3">
                  <c:v>1.0335365853658538</c:v>
                </c:pt>
                <c:pt idx="4">
                  <c:v>0.96620278330019882</c:v>
                </c:pt>
                <c:pt idx="5">
                  <c:v>0.99130434782608701</c:v>
                </c:pt>
                <c:pt idx="6">
                  <c:v>0.99130434782608701</c:v>
                </c:pt>
                <c:pt idx="7">
                  <c:v>0.99130434782608701</c:v>
                </c:pt>
                <c:pt idx="8">
                  <c:v>0.99130434782608701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73-D549-A796-D159BFB25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s-ES" sz="1000" b="0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Semana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spcFirstLastPara="1" vert="horz" wrap="square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E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0.00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ES"/>
          </a:p>
        </c:txPr>
        <c:crossAx val="1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es-ES"/>
        </a:p>
      </c:txPr>
    </c:legend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_tradnl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ES" sz="1400" b="0" i="0" u="non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Burndown de horas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Burndown!$B$15</c:f>
              <c:strCache>
                <c:ptCount val="1"/>
                <c:pt idx="0">
                  <c:v>Ideal horas</c:v>
                </c:pt>
              </c:strCache>
            </c:strRef>
          </c:tx>
          <c:spPr>
            <a:ln w="28575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Burndown!$A$16:$A$25</c:f>
              <c:numCache>
                <c:formatCode>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Burndown!$B$16:$B$25</c:f>
              <c:numCache>
                <c:formatCode>0.0</c:formatCode>
                <c:ptCount val="10"/>
                <c:pt idx="0">
                  <c:v>136.16666666666666</c:v>
                </c:pt>
                <c:pt idx="1">
                  <c:v>121.03703703703702</c:v>
                </c:pt>
                <c:pt idx="2">
                  <c:v>105.9074074074074</c:v>
                </c:pt>
                <c:pt idx="3">
                  <c:v>90.777777777777786</c:v>
                </c:pt>
                <c:pt idx="4">
                  <c:v>75.648148148148152</c:v>
                </c:pt>
                <c:pt idx="5">
                  <c:v>60.518518518518512</c:v>
                </c:pt>
                <c:pt idx="6">
                  <c:v>45.388888888888893</c:v>
                </c:pt>
                <c:pt idx="7">
                  <c:v>30.259259259259256</c:v>
                </c:pt>
                <c:pt idx="8">
                  <c:v>15.129629629629635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19-2341-A617-5886FC99A0D7}"/>
            </c:ext>
          </c:extLst>
        </c:ser>
        <c:ser>
          <c:idx val="1"/>
          <c:order val="1"/>
          <c:tx>
            <c:strRef>
              <c:f>Burndown!$C$15</c:f>
              <c:strCache>
                <c:ptCount val="1"/>
                <c:pt idx="0">
                  <c:v>Restante horas</c:v>
                </c:pt>
              </c:strCache>
            </c:strRef>
          </c:tx>
          <c:spPr>
            <a:ln w="28575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Burndown!$A$16:$A$25</c:f>
              <c:numCache>
                <c:formatCode>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Burndown!$C$16:$C$25</c:f>
              <c:numCache>
                <c:formatCode>0.0</c:formatCode>
                <c:ptCount val="10"/>
                <c:pt idx="0">
                  <c:v>136.16666666666666</c:v>
                </c:pt>
                <c:pt idx="1">
                  <c:v>129.16666666666666</c:v>
                </c:pt>
                <c:pt idx="2">
                  <c:v>119.83333333333333</c:v>
                </c:pt>
                <c:pt idx="3">
                  <c:v>116.58333333333333</c:v>
                </c:pt>
                <c:pt idx="4">
                  <c:v>107.91666666666666</c:v>
                </c:pt>
                <c:pt idx="5">
                  <c:v>95.666666666666657</c:v>
                </c:pt>
                <c:pt idx="6">
                  <c:v>88.666666666666657</c:v>
                </c:pt>
                <c:pt idx="7">
                  <c:v>88.666666666666657</c:v>
                </c:pt>
                <c:pt idx="8">
                  <c:v>88.666666666666657</c:v>
                </c:pt>
                <c:pt idx="9">
                  <c:v>88.666666666666657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19-2341-A617-5886FC99A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s-ES" sz="1000" b="0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Semana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spcFirstLastPara="1" vert="horz" wrap="square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E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r>
                  <a:rPr lang="es-ES" sz="1000" b="0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Horas restantes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ES"/>
          </a:p>
        </c:txPr>
        <c:crossAx val="10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 rot="0" vert="horz" anchor="ctr" anchorCtr="1"/>
        <a:lstStyle/>
        <a:p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es-ES"/>
        </a:p>
      </c:txPr>
    </c:legend>
    <c:plotVisOnly val="1"/>
    <c:dispBlanksAs val="zero"/>
    <c:showDLblsOverMax val="1"/>
  </c:chart>
  <c:spPr>
    <a:solidFill>
      <a:schemeClr val="bg1"/>
    </a:solidFill>
    <a:ln w="9525" cmpd="sng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7</xdr:col>
      <xdr:colOff>520700</xdr:colOff>
      <xdr:row>20</xdr:row>
      <xdr:rowOff>177800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12700</xdr:rowOff>
    </xdr:from>
    <xdr:to>
      <xdr:col>7</xdr:col>
      <xdr:colOff>812800</xdr:colOff>
      <xdr:row>40</xdr:row>
      <xdr:rowOff>177800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6</xdr:col>
      <xdr:colOff>317500</xdr:colOff>
      <xdr:row>21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7</xdr:col>
      <xdr:colOff>457200</xdr:colOff>
      <xdr:row>42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0</xdr:rowOff>
    </xdr:from>
    <xdr:to>
      <xdr:col>12</xdr:col>
      <xdr:colOff>0</xdr:colOff>
      <xdr:row>50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51</xdr:row>
      <xdr:rowOff>0</xdr:rowOff>
    </xdr:from>
    <xdr:to>
      <xdr:col>12</xdr:col>
      <xdr:colOff>0</xdr:colOff>
      <xdr:row>67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0</xdr:rowOff>
    </xdr:from>
    <xdr:to>
      <xdr:col>12</xdr:col>
      <xdr:colOff>0</xdr:colOff>
      <xdr:row>50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nCalidadTbl" displayName="PlanCalidadTbl" ref="A6:M106" totalsRowShown="0">
  <tableColumns count="13">
    <tableColumn id="1" xr3:uid="{00000000-0010-0000-0000-000001000000}" name="Control"/>
    <tableColumn id="2" xr3:uid="{00000000-0010-0000-0000-000002000000}" name="Sprint"/>
    <tableColumn id="3" xr3:uid="{00000000-0010-0000-0000-000003000000}" name="Alcance"/>
    <tableColumn id="4" xr3:uid="{00000000-0010-0000-0000-000004000000}" name="Actividad"/>
    <tableColumn id="5" xr3:uid="{00000000-0010-0000-0000-000005000000}" name="Momento"/>
    <tableColumn id="6" xr3:uid="{00000000-0010-0000-0000-000006000000}" name="Responsables"/>
    <tableColumn id="7" xr3:uid="{00000000-0010-0000-0000-000007000000}" name="Criterio verificable"/>
    <tableColumn id="8" xr3:uid="{00000000-0010-0000-0000-000008000000}" name="Evidencia prevista"/>
    <tableColumn id="9" xr3:uid="{00000000-0010-0000-0000-000009000000}" name="Estado"/>
    <tableColumn id="10" xr3:uid="{00000000-0010-0000-0000-00000A000000}" name="Previsto min"/>
    <tableColumn id="11" xr3:uid="{00000000-0010-0000-0000-00000B000000}" name="Real min"/>
    <tableColumn id="12" xr3:uid="{00000000-0010-0000-0000-00000C000000}" name="Pendiente min"/>
    <tableColumn id="13" xr3:uid="{00000000-0010-0000-0000-00000D000000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oDTbl" displayName="DoDTbl" ref="A6:L106" totalsRowShown="0">
  <tableColumns count="12">
    <tableColumn id="1" xr3:uid="{00000000-0010-0000-0100-000001000000}" name="Sprint"/>
    <tableColumn id="2" xr3:uid="{00000000-0010-0000-0100-000002000000}" name="Version producto"/>
    <tableColumn id="3" xr3:uid="{00000000-0010-0000-0100-000003000000}" name="Historia"/>
    <tableColumn id="4" xr3:uid="{00000000-0010-0000-0100-000004000000}" name="Aceptacion"/>
    <tableColumn id="5" xr3:uid="{00000000-0010-0000-0100-000005000000}" name="Integracion"/>
    <tableColumn id="6" xr3:uid="{00000000-0010-0000-0100-000006000000}" name="Revision por otro"/>
    <tableColumn id="7" xr3:uid="{00000000-0010-0000-0100-000007000000}" name="Pruebas y regresion"/>
    <tableColumn id="8" xr3:uid="{00000000-0010-0000-0100-000008000000}" name="Documentacion"/>
    <tableColumn id="9" xr3:uid="{00000000-0010-0000-0100-000009000000}" name="Version ejecutable"/>
    <tableColumn id="10" xr3:uid="{00000000-0010-0000-0100-00000A000000}" name="Indice de evidencias"/>
    <tableColumn id="11" xr3:uid="{00000000-0010-0000-0100-00000B000000}" name="Resultado"/>
    <tableColumn id="12" xr3:uid="{00000000-0010-0000-0100-00000C000000}" name="Observac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uebasTbl" displayName="PruebasTbl" ref="A6:P106" totalsRowShown="0">
  <tableColumns count="16">
    <tableColumn id="1" xr3:uid="{00000000-0010-0000-0200-000001000000}" name="Ejecucion"/>
    <tableColumn id="2" xr3:uid="{00000000-0010-0000-0200-000002000000}" name="Sprint"/>
    <tableColumn id="3" xr3:uid="{00000000-0010-0000-0200-000003000000}" name="Version"/>
    <tableColumn id="4" xr3:uid="{00000000-0010-0000-0200-000004000000}" name="Historia"/>
    <tableColumn id="5" xr3:uid="{00000000-0010-0000-0200-000005000000}" name="Criterio"/>
    <tableColumn id="6" xr3:uid="{00000000-0010-0000-0200-000006000000}" name="Prueba"/>
    <tableColumn id="7" xr3:uid="{00000000-0010-0000-0200-000007000000}" name="Fecha o corte"/>
    <tableColumn id="8" xr3:uid="{00000000-0010-0000-0200-000008000000}" name="Ejecutor"/>
    <tableColumn id="9" xr3:uid="{00000000-0010-0000-0200-000009000000}" name="Entorno"/>
    <tableColumn id="10" xr3:uid="{00000000-0010-0000-0200-00000A000000}" name="Datos iniciales"/>
    <tableColumn id="11" xr3:uid="{00000000-0010-0000-0200-00000B000000}" name="Pasos"/>
    <tableColumn id="12" xr3:uid="{00000000-0010-0000-0200-00000C000000}" name="Esperado"/>
    <tableColumn id="13" xr3:uid="{00000000-0010-0000-0200-00000D000000}" name="Obtenido"/>
    <tableColumn id="14" xr3:uid="{00000000-0010-0000-0200-00000E000000}" name="Resultado"/>
    <tableColumn id="15" xr3:uid="{00000000-0010-0000-0200-00000F000000}" name="Defecto"/>
    <tableColumn id="16" xr3:uid="{00000000-0010-0000-0200-000010000000}" name="Archivo o enla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videnciasTbl" displayName="EvidenciasTbl" ref="A6:N106" totalsRowShown="0">
  <tableColumns count="14">
    <tableColumn id="1" xr3:uid="{00000000-0010-0000-0300-000001000000}" name="Registro"/>
    <tableColumn id="2" xr3:uid="{00000000-0010-0000-0300-000002000000}" name="Sprint"/>
    <tableColumn id="3" xr3:uid="{00000000-0010-0000-0300-000003000000}" name="Version"/>
    <tableColumn id="4" xr3:uid="{00000000-0010-0000-0300-000004000000}" name="Control"/>
    <tableColumn id="5" xr3:uid="{00000000-0010-0000-0300-000005000000}" name="Historia"/>
    <tableColumn id="6" xr3:uid="{00000000-0010-0000-0300-000006000000}" name="Elemento revisado"/>
    <tableColumn id="7" xr3:uid="{00000000-0010-0000-0300-000007000000}" name="Fecha o corte"/>
    <tableColumn id="8" xr3:uid="{00000000-0010-0000-0300-000008000000}" name="Autor"/>
    <tableColumn id="9" xr3:uid="{00000000-0010-0000-0300-000009000000}" name="Revisor"/>
    <tableColumn id="10" xr3:uid="{00000000-0010-0000-0300-00000A000000}" name="Criterio de revision"/>
    <tableColumn id="11" xr3:uid="{00000000-0010-0000-0300-00000B000000}" name="Hallazgos"/>
    <tableColumn id="12" xr3:uid="{00000000-0010-0000-0300-00000C000000}" name="Estado"/>
    <tableColumn id="13" xr3:uid="{00000000-0010-0000-0300-00000D000000}" name="Accion y verificacion"/>
    <tableColumn id="14" xr3:uid="{00000000-0010-0000-0300-00000E000000}" name="Archivo o enla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efectosTbl" displayName="DefectosTbl" ref="A6:N106" totalsRowShown="0">
  <tableColumns count="14">
    <tableColumn id="1" xr3:uid="{00000000-0010-0000-0400-000001000000}" name="Corte"/>
    <tableColumn id="2" xr3:uid="{00000000-0010-0000-0400-000002000000}" name="Sprint"/>
    <tableColumn id="3" xr3:uid="{00000000-0010-0000-0400-000003000000}" name="Version"/>
    <tableColumn id="4" xr3:uid="{00000000-0010-0000-0400-000004000000}" name="Defecto"/>
    <tableColumn id="5" xr3:uid="{00000000-0010-0000-0400-000005000000}" name="Historia"/>
    <tableColumn id="6" xr3:uid="{00000000-0010-0000-0400-000006000000}" name="Descripcion"/>
    <tableColumn id="7" xr3:uid="{00000000-0010-0000-0400-000007000000}" name="Severidad"/>
    <tableColumn id="8" xr3:uid="{00000000-0010-0000-0400-000008000000}" name="Prioridad"/>
    <tableColumn id="9" xr3:uid="{00000000-0010-0000-0400-000009000000}" name="Responsable"/>
    <tableColumn id="10" xr3:uid="{00000000-0010-0000-0400-00000A000000}" name="Estado"/>
    <tableColumn id="11" xr3:uid="{00000000-0010-0000-0400-00000B000000}" name="Accion o correccion"/>
    <tableColumn id="12" xr3:uid="{00000000-0010-0000-0400-00000C000000}" name="Fecha o corte objetivo"/>
    <tableColumn id="13" xr3:uid="{00000000-0010-0000-0400-00000D000000}" name="Verificacion"/>
    <tableColumn id="14" xr3:uid="{00000000-0010-0000-0400-00000E000000}" name="Archivo o enla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1090"/>
  <sheetViews>
    <sheetView tabSelected="1" workbookViewId="0">
      <pane ySplit="4" topLeftCell="A5" activePane="bottomLeft" state="frozen"/>
      <selection pane="bottomLeft" activeCell="X2" sqref="X2"/>
    </sheetView>
  </sheetViews>
  <sheetFormatPr baseColWidth="10" defaultColWidth="11.5" defaultRowHeight="15" x14ac:dyDescent="0.2"/>
  <cols>
    <col min="1" max="1" width="10.6640625" customWidth="1"/>
    <col min="2" max="2" width="12.33203125" customWidth="1"/>
    <col min="3" max="3" width="81.6640625" customWidth="1"/>
    <col min="4" max="10" width="5.6640625" customWidth="1"/>
    <col min="11" max="11" width="10.33203125" customWidth="1"/>
    <col min="12" max="12" width="10.6640625" customWidth="1"/>
    <col min="13" max="18" width="5.6640625" customWidth="1"/>
    <col min="19" max="19" width="5.33203125" customWidth="1"/>
    <col min="20" max="21" width="10.5" customWidth="1"/>
    <col min="22" max="22" width="10.6640625" customWidth="1"/>
    <col min="23" max="23" width="12" customWidth="1"/>
    <col min="24" max="24" width="10.6640625" customWidth="1"/>
    <col min="25" max="25" width="24" customWidth="1"/>
    <col min="26" max="26" width="22" customWidth="1"/>
    <col min="27" max="27" width="20" customWidth="1"/>
    <col min="28" max="29" width="14.1640625" customWidth="1"/>
    <col min="30" max="68" width="10.6640625" customWidth="1"/>
  </cols>
  <sheetData>
    <row r="1" spans="2:32" ht="19" customHeight="1" x14ac:dyDescent="0.25">
      <c r="B1" s="58" t="s">
        <v>248</v>
      </c>
      <c r="V1" s="59" t="s">
        <v>0</v>
      </c>
      <c r="W1" s="108" t="s">
        <v>428</v>
      </c>
      <c r="X1" s="36" t="s">
        <v>431</v>
      </c>
    </row>
    <row r="2" spans="2:32" ht="15" customHeight="1" x14ac:dyDescent="0.2">
      <c r="B2" s="1" t="s">
        <v>1</v>
      </c>
      <c r="C2" s="1" t="s">
        <v>2</v>
      </c>
      <c r="D2" s="1" t="s">
        <v>3</v>
      </c>
      <c r="M2" s="1" t="s">
        <v>4</v>
      </c>
    </row>
    <row r="3" spans="2:32" ht="14.25" customHeight="1" x14ac:dyDescent="0.2">
      <c r="W3" s="57"/>
      <c r="X3" s="57"/>
    </row>
    <row r="4" spans="2:32" ht="32.25" customHeight="1" x14ac:dyDescent="0.2">
      <c r="D4" s="3" t="s">
        <v>5</v>
      </c>
      <c r="E4" s="68" t="s">
        <v>6</v>
      </c>
      <c r="F4" s="6" t="s">
        <v>7</v>
      </c>
      <c r="G4" s="2" t="s">
        <v>8</v>
      </c>
      <c r="H4" s="7" t="s">
        <v>9</v>
      </c>
      <c r="I4" s="8" t="s">
        <v>10</v>
      </c>
      <c r="J4" s="4" t="s">
        <v>11</v>
      </c>
      <c r="K4" s="4" t="s">
        <v>12</v>
      </c>
      <c r="L4" s="5" t="s">
        <v>13</v>
      </c>
      <c r="M4" s="3" t="s">
        <v>5</v>
      </c>
      <c r="N4" s="68" t="s">
        <v>6</v>
      </c>
      <c r="O4" s="6" t="s">
        <v>7</v>
      </c>
      <c r="P4" s="2" t="s">
        <v>8</v>
      </c>
      <c r="Q4" s="7" t="s">
        <v>9</v>
      </c>
      <c r="R4" s="8" t="s">
        <v>10</v>
      </c>
      <c r="S4" s="4" t="s">
        <v>11</v>
      </c>
      <c r="T4" s="4" t="s">
        <v>12</v>
      </c>
      <c r="U4" s="9" t="s">
        <v>14</v>
      </c>
      <c r="V4" s="10" t="s">
        <v>15</v>
      </c>
      <c r="W4" s="57"/>
      <c r="X4" s="57"/>
      <c r="Y4" s="60" t="s">
        <v>16</v>
      </c>
    </row>
    <row r="5" spans="2:32" ht="15" customHeight="1" x14ac:dyDescent="0.2">
      <c r="B5" s="1" t="s">
        <v>17</v>
      </c>
      <c r="C5" t="s">
        <v>18</v>
      </c>
      <c r="D5" s="11">
        <v>10</v>
      </c>
      <c r="E5" s="11">
        <v>10</v>
      </c>
      <c r="F5" s="11">
        <v>10</v>
      </c>
      <c r="G5" s="11">
        <v>10</v>
      </c>
      <c r="H5" s="11">
        <v>10</v>
      </c>
      <c r="I5" s="11">
        <v>10</v>
      </c>
      <c r="J5" s="11">
        <f>IF(SUM(D5:I5)=0,"",SUM(D5:I5))</f>
        <v>60</v>
      </c>
      <c r="K5" s="11">
        <f>SUM($J$5:J5)</f>
        <v>60</v>
      </c>
      <c r="L5" s="11">
        <v>1</v>
      </c>
      <c r="M5" s="11">
        <v>10</v>
      </c>
      <c r="N5" s="11">
        <v>10</v>
      </c>
      <c r="O5" s="11">
        <v>10</v>
      </c>
      <c r="P5" s="11">
        <v>10</v>
      </c>
      <c r="Q5" s="11">
        <v>10</v>
      </c>
      <c r="R5" s="11">
        <v>10</v>
      </c>
      <c r="S5" s="11">
        <f t="shared" ref="S5:S15" si="0">SUM(M5:R5)</f>
        <v>60</v>
      </c>
      <c r="T5" s="11">
        <f>SUM($S$5:S5)</f>
        <v>60</v>
      </c>
      <c r="U5" s="11">
        <v>1</v>
      </c>
      <c r="V5" t="s">
        <v>19</v>
      </c>
      <c r="Y5" s="61" t="s">
        <v>20</v>
      </c>
      <c r="Z5" s="61" t="s">
        <v>21</v>
      </c>
      <c r="AA5" s="61" t="s">
        <v>22</v>
      </c>
    </row>
    <row r="6" spans="2:32" ht="15.75" customHeight="1" x14ac:dyDescent="0.2">
      <c r="B6" s="1" t="s">
        <v>17</v>
      </c>
      <c r="C6" t="s">
        <v>23</v>
      </c>
      <c r="D6" s="11">
        <v>20</v>
      </c>
      <c r="E6" s="11">
        <v>20</v>
      </c>
      <c r="F6" s="11">
        <v>20</v>
      </c>
      <c r="G6" s="11">
        <v>20</v>
      </c>
      <c r="H6" s="11">
        <v>20</v>
      </c>
      <c r="I6" s="11">
        <v>20</v>
      </c>
      <c r="J6" s="11">
        <f t="shared" ref="J6:J68" si="1">IF(SUM(D6:I6)=0,"",SUM(D6:I6))</f>
        <v>120</v>
      </c>
      <c r="K6" s="11">
        <f>SUM($J$5:J6)</f>
        <v>180</v>
      </c>
      <c r="L6" s="11">
        <v>1</v>
      </c>
      <c r="M6" s="11">
        <v>20</v>
      </c>
      <c r="N6" s="11">
        <v>20</v>
      </c>
      <c r="O6" s="11">
        <v>20</v>
      </c>
      <c r="P6" s="11">
        <v>20</v>
      </c>
      <c r="Q6" s="11">
        <v>20</v>
      </c>
      <c r="R6" s="11">
        <v>20</v>
      </c>
      <c r="S6" s="11">
        <f t="shared" si="0"/>
        <v>120</v>
      </c>
      <c r="T6" s="11">
        <f>SUM($S$5:S6)</f>
        <v>180</v>
      </c>
      <c r="U6" s="11">
        <v>1</v>
      </c>
      <c r="V6" t="s">
        <v>19</v>
      </c>
      <c r="Y6" s="62" t="s">
        <v>24</v>
      </c>
      <c r="Z6" s="63" t="s">
        <v>25</v>
      </c>
      <c r="AA6" s="64" t="s">
        <v>26</v>
      </c>
    </row>
    <row r="7" spans="2:32" ht="15" customHeight="1" x14ac:dyDescent="0.2">
      <c r="B7" s="1" t="s">
        <v>17</v>
      </c>
      <c r="C7" t="s">
        <v>27</v>
      </c>
      <c r="D7" s="11"/>
      <c r="E7" s="11">
        <v>20</v>
      </c>
      <c r="F7" s="11"/>
      <c r="G7" s="11"/>
      <c r="H7" s="11"/>
      <c r="I7" s="11"/>
      <c r="J7" s="11">
        <f t="shared" si="1"/>
        <v>20</v>
      </c>
      <c r="K7" s="11">
        <f>SUM($J$5:J7)</f>
        <v>200</v>
      </c>
      <c r="L7" s="11">
        <v>1</v>
      </c>
      <c r="M7" s="11"/>
      <c r="N7" s="11">
        <v>30</v>
      </c>
      <c r="O7" s="11"/>
      <c r="P7" s="11"/>
      <c r="Q7" s="11"/>
      <c r="R7" s="11">
        <v>20</v>
      </c>
      <c r="S7" s="11">
        <f t="shared" si="0"/>
        <v>50</v>
      </c>
      <c r="T7" s="11">
        <f>SUM($S$5:S7)</f>
        <v>230</v>
      </c>
      <c r="U7" s="11">
        <v>2</v>
      </c>
      <c r="V7" t="s">
        <v>19</v>
      </c>
      <c r="Y7" s="65" t="s">
        <v>6</v>
      </c>
      <c r="Z7" s="63" t="s">
        <v>28</v>
      </c>
      <c r="AA7" s="66" t="s">
        <v>29</v>
      </c>
    </row>
    <row r="8" spans="2:32" ht="15" customHeight="1" x14ac:dyDescent="0.2">
      <c r="B8" s="1" t="s">
        <v>17</v>
      </c>
      <c r="C8" t="s">
        <v>30</v>
      </c>
      <c r="D8" s="11">
        <v>10</v>
      </c>
      <c r="E8" s="11">
        <v>10</v>
      </c>
      <c r="F8" s="11">
        <v>10</v>
      </c>
      <c r="G8" s="11">
        <v>10</v>
      </c>
      <c r="H8" s="11">
        <v>10</v>
      </c>
      <c r="I8" s="11">
        <v>10</v>
      </c>
      <c r="J8" s="11">
        <f t="shared" si="1"/>
        <v>60</v>
      </c>
      <c r="K8" s="11">
        <f>SUM($J$5:J8)</f>
        <v>260</v>
      </c>
      <c r="L8" s="11">
        <v>1</v>
      </c>
      <c r="M8" s="11">
        <v>20</v>
      </c>
      <c r="N8" s="11">
        <v>20</v>
      </c>
      <c r="O8" s="11">
        <v>15</v>
      </c>
      <c r="P8" s="11">
        <v>15</v>
      </c>
      <c r="Q8" s="11">
        <v>15</v>
      </c>
      <c r="R8" s="11">
        <v>10</v>
      </c>
      <c r="S8" s="11">
        <f t="shared" si="0"/>
        <v>95</v>
      </c>
      <c r="T8" s="11">
        <f>SUM($S$5:S8)</f>
        <v>325</v>
      </c>
      <c r="U8" s="11">
        <v>1</v>
      </c>
      <c r="V8" t="s">
        <v>19</v>
      </c>
      <c r="Y8" s="62" t="s">
        <v>31</v>
      </c>
      <c r="Z8" s="63" t="s">
        <v>32</v>
      </c>
      <c r="AA8" s="64" t="s">
        <v>33</v>
      </c>
    </row>
    <row r="9" spans="2:32" ht="15" customHeight="1" x14ac:dyDescent="0.2">
      <c r="B9" s="1" t="s">
        <v>17</v>
      </c>
      <c r="C9" t="s">
        <v>34</v>
      </c>
      <c r="D9" s="11">
        <v>20</v>
      </c>
      <c r="E9" s="11"/>
      <c r="F9" s="11"/>
      <c r="G9" s="11"/>
      <c r="H9" s="11"/>
      <c r="I9" s="11"/>
      <c r="J9" s="11">
        <f t="shared" si="1"/>
        <v>20</v>
      </c>
      <c r="K9" s="11">
        <f>SUM($J$5:J9)</f>
        <v>280</v>
      </c>
      <c r="L9" s="11">
        <v>1</v>
      </c>
      <c r="M9" s="11">
        <v>20</v>
      </c>
      <c r="N9" s="11"/>
      <c r="O9" s="11"/>
      <c r="P9" s="11"/>
      <c r="Q9" s="11"/>
      <c r="R9" s="11"/>
      <c r="S9" s="11">
        <f t="shared" si="0"/>
        <v>20</v>
      </c>
      <c r="T9" s="11">
        <f>SUM($S$5:S9)</f>
        <v>345</v>
      </c>
      <c r="U9" s="11">
        <v>3</v>
      </c>
      <c r="V9" t="s">
        <v>19</v>
      </c>
      <c r="Y9" s="65" t="s">
        <v>8</v>
      </c>
      <c r="Z9" s="63" t="s">
        <v>35</v>
      </c>
      <c r="AA9" s="66" t="s">
        <v>36</v>
      </c>
      <c r="AC9" s="11"/>
      <c r="AD9" s="11"/>
      <c r="AE9" s="11"/>
      <c r="AF9" s="11"/>
    </row>
    <row r="10" spans="2:32" ht="15" customHeight="1" x14ac:dyDescent="0.2">
      <c r="B10" s="1" t="s">
        <v>17</v>
      </c>
      <c r="C10" t="s">
        <v>37</v>
      </c>
      <c r="D10" s="11">
        <v>10</v>
      </c>
      <c r="E10" s="11">
        <v>10</v>
      </c>
      <c r="F10" s="11">
        <v>10</v>
      </c>
      <c r="G10" s="11">
        <v>10</v>
      </c>
      <c r="H10" s="11">
        <v>10</v>
      </c>
      <c r="I10" s="11">
        <v>10</v>
      </c>
      <c r="J10" s="11">
        <f t="shared" si="1"/>
        <v>60</v>
      </c>
      <c r="K10" s="11">
        <f>SUM($J$5:J10)</f>
        <v>340</v>
      </c>
      <c r="L10" s="11">
        <v>1</v>
      </c>
      <c r="M10" s="11">
        <v>15</v>
      </c>
      <c r="N10" s="11">
        <v>15</v>
      </c>
      <c r="O10" s="11">
        <v>15</v>
      </c>
      <c r="P10" s="11">
        <v>15</v>
      </c>
      <c r="Q10" s="11">
        <v>15</v>
      </c>
      <c r="R10" s="11">
        <v>10</v>
      </c>
      <c r="S10" s="11">
        <f t="shared" si="0"/>
        <v>85</v>
      </c>
      <c r="T10" s="11">
        <f>SUM($S$5:S10)</f>
        <v>430</v>
      </c>
      <c r="U10" s="11">
        <v>1</v>
      </c>
      <c r="V10" t="s">
        <v>19</v>
      </c>
      <c r="Y10" s="62" t="s">
        <v>9</v>
      </c>
      <c r="Z10" s="63" t="s">
        <v>38</v>
      </c>
      <c r="AA10" s="64" t="s">
        <v>39</v>
      </c>
      <c r="AC10" s="11"/>
      <c r="AD10" s="11"/>
      <c r="AE10" s="11"/>
      <c r="AF10" s="11"/>
    </row>
    <row r="11" spans="2:32" ht="15" customHeight="1" x14ac:dyDescent="0.2">
      <c r="B11" s="1" t="s">
        <v>17</v>
      </c>
      <c r="C11" t="s">
        <v>40</v>
      </c>
      <c r="D11" s="11">
        <v>15</v>
      </c>
      <c r="E11" s="11"/>
      <c r="F11" s="11"/>
      <c r="G11" s="11"/>
      <c r="H11" s="11"/>
      <c r="I11" s="11"/>
      <c r="J11" s="11">
        <f t="shared" si="1"/>
        <v>15</v>
      </c>
      <c r="K11" s="11">
        <f>SUM($J$5:J11)</f>
        <v>355</v>
      </c>
      <c r="L11" s="11">
        <v>1</v>
      </c>
      <c r="M11" s="11">
        <v>20</v>
      </c>
      <c r="N11" s="11"/>
      <c r="O11" s="11"/>
      <c r="P11" s="11"/>
      <c r="Q11" s="11"/>
      <c r="R11" s="11"/>
      <c r="S11" s="11">
        <f t="shared" si="0"/>
        <v>20</v>
      </c>
      <c r="T11" s="11">
        <f>SUM($S$5:S11)</f>
        <v>450</v>
      </c>
      <c r="U11" s="11">
        <v>3</v>
      </c>
      <c r="V11" t="s">
        <v>19</v>
      </c>
      <c r="Y11" s="65" t="s">
        <v>10</v>
      </c>
      <c r="Z11" s="63" t="s">
        <v>41</v>
      </c>
      <c r="AA11" s="66" t="s">
        <v>42</v>
      </c>
      <c r="AB11" s="11"/>
      <c r="AC11" s="11"/>
      <c r="AD11" s="11"/>
      <c r="AE11" s="11"/>
      <c r="AF11" s="11"/>
    </row>
    <row r="12" spans="2:32" ht="28" customHeight="1" x14ac:dyDescent="0.2">
      <c r="B12" s="1" t="s">
        <v>17</v>
      </c>
      <c r="C12" t="s">
        <v>43</v>
      </c>
      <c r="D12" s="11">
        <v>15</v>
      </c>
      <c r="E12" s="11">
        <v>15</v>
      </c>
      <c r="F12" s="11">
        <v>15</v>
      </c>
      <c r="G12" s="11">
        <v>15</v>
      </c>
      <c r="H12" s="11">
        <v>15</v>
      </c>
      <c r="I12" s="11">
        <v>15</v>
      </c>
      <c r="J12" s="11">
        <f t="shared" si="1"/>
        <v>90</v>
      </c>
      <c r="K12" s="11">
        <f>SUM($J$5:J12)</f>
        <v>445</v>
      </c>
      <c r="L12" s="11">
        <v>1</v>
      </c>
      <c r="M12" s="11">
        <v>20</v>
      </c>
      <c r="N12" s="11">
        <v>20</v>
      </c>
      <c r="O12" s="11">
        <v>20</v>
      </c>
      <c r="P12" s="11">
        <v>20</v>
      </c>
      <c r="Q12" s="11">
        <v>10</v>
      </c>
      <c r="R12" s="11">
        <v>15</v>
      </c>
      <c r="S12" s="11">
        <f t="shared" si="0"/>
        <v>105</v>
      </c>
      <c r="T12" s="11">
        <f>SUM($S$5:S12)</f>
        <v>555</v>
      </c>
      <c r="U12" s="11">
        <v>1</v>
      </c>
      <c r="V12" t="s">
        <v>19</v>
      </c>
      <c r="Y12" s="67" t="s">
        <v>44</v>
      </c>
      <c r="Z12" s="11" t="s">
        <v>45</v>
      </c>
      <c r="AA12" s="11"/>
      <c r="AB12" s="11"/>
      <c r="AC12" s="11"/>
      <c r="AD12" s="11"/>
      <c r="AE12" s="11"/>
      <c r="AF12" s="11"/>
    </row>
    <row r="13" spans="2:32" ht="15" customHeight="1" x14ac:dyDescent="0.2">
      <c r="B13" s="1" t="s">
        <v>17</v>
      </c>
      <c r="C13" t="s">
        <v>46</v>
      </c>
      <c r="D13" s="11">
        <v>45</v>
      </c>
      <c r="E13" s="11">
        <v>45</v>
      </c>
      <c r="F13" s="11">
        <v>45</v>
      </c>
      <c r="G13" s="11">
        <v>45</v>
      </c>
      <c r="H13" s="11">
        <v>45</v>
      </c>
      <c r="I13" s="11">
        <v>45</v>
      </c>
      <c r="J13" s="11">
        <f t="shared" si="1"/>
        <v>270</v>
      </c>
      <c r="K13" s="11">
        <f>SUM($J$5:J13)</f>
        <v>715</v>
      </c>
      <c r="L13" s="11">
        <v>1</v>
      </c>
      <c r="M13" s="11">
        <v>150</v>
      </c>
      <c r="N13" s="11"/>
      <c r="O13" s="11"/>
      <c r="P13" s="11"/>
      <c r="Q13" s="11"/>
      <c r="R13" s="11"/>
      <c r="S13" s="11">
        <f t="shared" si="0"/>
        <v>150</v>
      </c>
      <c r="T13" s="11">
        <f>SUM($S$5:S13)</f>
        <v>705</v>
      </c>
      <c r="U13" s="11">
        <v>2</v>
      </c>
      <c r="V13" t="s">
        <v>19</v>
      </c>
      <c r="Z13" s="11"/>
      <c r="AA13" s="11"/>
      <c r="AB13" s="11"/>
      <c r="AC13" s="11"/>
      <c r="AD13" s="11"/>
      <c r="AE13" s="11"/>
      <c r="AF13" s="11"/>
    </row>
    <row r="14" spans="2:32" ht="15" customHeight="1" x14ac:dyDescent="0.2">
      <c r="B14" s="1" t="s">
        <v>17</v>
      </c>
      <c r="C14" t="s">
        <v>47</v>
      </c>
      <c r="D14" s="11">
        <v>45</v>
      </c>
      <c r="E14" s="11">
        <v>45</v>
      </c>
      <c r="F14" s="11">
        <v>45</v>
      </c>
      <c r="G14" s="11">
        <v>45</v>
      </c>
      <c r="H14" s="11">
        <v>45</v>
      </c>
      <c r="I14" s="11">
        <v>45</v>
      </c>
      <c r="J14" s="11">
        <f t="shared" si="1"/>
        <v>270</v>
      </c>
      <c r="K14" s="11">
        <f>SUM($J$5:J14)</f>
        <v>985</v>
      </c>
      <c r="L14" s="11">
        <v>1</v>
      </c>
      <c r="M14" s="11">
        <v>15</v>
      </c>
      <c r="N14" s="11">
        <v>15</v>
      </c>
      <c r="O14" s="11">
        <v>15</v>
      </c>
      <c r="P14" s="11">
        <v>15</v>
      </c>
      <c r="Q14" s="11">
        <v>10</v>
      </c>
      <c r="R14" s="11">
        <v>10</v>
      </c>
      <c r="S14" s="11">
        <f t="shared" si="0"/>
        <v>80</v>
      </c>
      <c r="T14" s="11">
        <f>SUM($S$5:S14)</f>
        <v>785</v>
      </c>
      <c r="U14" s="11">
        <v>2</v>
      </c>
      <c r="V14" t="s">
        <v>19</v>
      </c>
      <c r="Y14" s="109" t="s">
        <v>429</v>
      </c>
      <c r="Z14" s="110">
        <f>6*43</f>
        <v>258</v>
      </c>
      <c r="AA14" s="11" t="s">
        <v>48</v>
      </c>
      <c r="AB14" s="11"/>
      <c r="AC14" s="11"/>
      <c r="AD14" s="11"/>
      <c r="AE14" s="11"/>
      <c r="AF14" s="11"/>
    </row>
    <row r="15" spans="2:32" ht="15" customHeight="1" x14ac:dyDescent="0.2">
      <c r="B15" s="1" t="s">
        <v>17</v>
      </c>
      <c r="C15" t="s">
        <v>49</v>
      </c>
      <c r="D15" s="11">
        <v>5</v>
      </c>
      <c r="E15" s="11">
        <v>5</v>
      </c>
      <c r="F15" s="11">
        <v>5</v>
      </c>
      <c r="G15" s="11">
        <v>5</v>
      </c>
      <c r="H15" s="11">
        <v>5</v>
      </c>
      <c r="I15" s="11">
        <v>5</v>
      </c>
      <c r="J15" s="11">
        <f t="shared" si="1"/>
        <v>30</v>
      </c>
      <c r="K15" s="11">
        <f>SUM($J$5:J15)</f>
        <v>1015</v>
      </c>
      <c r="L15" s="11">
        <v>1</v>
      </c>
      <c r="M15" s="11">
        <v>5</v>
      </c>
      <c r="N15" s="11">
        <v>5</v>
      </c>
      <c r="O15" s="11">
        <v>5</v>
      </c>
      <c r="P15" s="11">
        <v>5</v>
      </c>
      <c r="Q15" s="11">
        <v>5</v>
      </c>
      <c r="R15" s="11">
        <v>5</v>
      </c>
      <c r="S15" s="11">
        <f t="shared" si="0"/>
        <v>30</v>
      </c>
      <c r="T15" s="11">
        <f>SUM($S$5:S15)</f>
        <v>815</v>
      </c>
      <c r="U15" s="11">
        <v>1</v>
      </c>
      <c r="V15" t="s">
        <v>19</v>
      </c>
      <c r="Y15" t="s">
        <v>50</v>
      </c>
      <c r="Z15" s="11">
        <v>30</v>
      </c>
      <c r="AA15" s="11" t="s">
        <v>51</v>
      </c>
      <c r="AB15" s="11"/>
      <c r="AC15" s="11"/>
      <c r="AD15" s="11"/>
      <c r="AE15" s="11"/>
      <c r="AF15" s="11"/>
    </row>
    <row r="16" spans="2:32" ht="15" customHeight="1" x14ac:dyDescent="0.2">
      <c r="J16" s="11" t="str">
        <f t="shared" si="1"/>
        <v/>
      </c>
      <c r="X16" s="11"/>
      <c r="Y16" s="11"/>
      <c r="Z16" s="11"/>
      <c r="AA16" s="11"/>
      <c r="AB16" s="11"/>
      <c r="AC16" s="11"/>
      <c r="AD16" s="11"/>
      <c r="AE16" s="11"/>
      <c r="AF16" s="11"/>
    </row>
    <row r="17" spans="2:32" ht="15" customHeight="1" x14ac:dyDescent="0.2">
      <c r="B17" s="1"/>
      <c r="D17" s="11"/>
      <c r="E17" s="11"/>
      <c r="F17" s="11"/>
      <c r="G17" s="11"/>
      <c r="H17" s="11"/>
      <c r="I17" s="11"/>
      <c r="J17" s="11" t="str">
        <f t="shared" si="1"/>
        <v/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X17" s="11"/>
      <c r="Y17" s="11"/>
      <c r="Z17" s="11"/>
      <c r="AA17" s="11"/>
      <c r="AB17" s="11"/>
      <c r="AC17" s="11"/>
      <c r="AD17" s="11"/>
      <c r="AE17" s="11"/>
      <c r="AF17" s="11"/>
    </row>
    <row r="18" spans="2:32" ht="15" customHeight="1" x14ac:dyDescent="0.2">
      <c r="B18" s="1"/>
      <c r="D18" s="11"/>
      <c r="E18" s="11"/>
      <c r="F18" s="11"/>
      <c r="G18" s="11"/>
      <c r="H18" s="11"/>
      <c r="I18" s="11"/>
      <c r="J18" s="11" t="str">
        <f t="shared" si="1"/>
        <v/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X18" s="11"/>
      <c r="Y18" s="11"/>
      <c r="Z18" s="11"/>
      <c r="AA18" s="11"/>
      <c r="AB18" s="11"/>
      <c r="AC18" s="11"/>
      <c r="AD18" s="11"/>
      <c r="AE18" s="11"/>
      <c r="AF18" s="11"/>
    </row>
    <row r="19" spans="2:32" ht="15" customHeight="1" x14ac:dyDescent="0.2">
      <c r="B19" s="1" t="s">
        <v>52</v>
      </c>
      <c r="C19" t="s">
        <v>53</v>
      </c>
      <c r="D19" s="11">
        <v>25</v>
      </c>
      <c r="E19" s="11">
        <v>25</v>
      </c>
      <c r="F19" s="11">
        <v>25</v>
      </c>
      <c r="G19" s="11">
        <v>25</v>
      </c>
      <c r="H19" s="11"/>
      <c r="I19" s="11"/>
      <c r="J19" s="11">
        <f t="shared" si="1"/>
        <v>100</v>
      </c>
      <c r="K19" s="11">
        <f>SUM($J$5:J19)</f>
        <v>1115</v>
      </c>
      <c r="L19" s="11">
        <v>2</v>
      </c>
      <c r="M19" s="11">
        <v>30</v>
      </c>
      <c r="N19" s="11">
        <v>30</v>
      </c>
      <c r="O19" s="11">
        <v>30</v>
      </c>
      <c r="P19" s="11">
        <v>30</v>
      </c>
      <c r="Q19" s="11"/>
      <c r="R19" s="11"/>
      <c r="S19" s="11">
        <f t="shared" ref="S19:S26" si="2">SUM(M19:R19)</f>
        <v>120</v>
      </c>
      <c r="T19" s="11">
        <f>SUM($S$5:S19)</f>
        <v>935</v>
      </c>
      <c r="U19" s="11">
        <v>3</v>
      </c>
      <c r="V19" t="s">
        <v>19</v>
      </c>
      <c r="Y19" s="97" t="s">
        <v>422</v>
      </c>
    </row>
    <row r="20" spans="2:32" ht="15" customHeight="1" x14ac:dyDescent="0.2">
      <c r="B20" s="1" t="s">
        <v>52</v>
      </c>
      <c r="C20" t="s">
        <v>54</v>
      </c>
      <c r="D20" s="11">
        <v>5</v>
      </c>
      <c r="E20" s="11">
        <v>5</v>
      </c>
      <c r="F20" s="11">
        <v>5</v>
      </c>
      <c r="G20" s="11">
        <v>5</v>
      </c>
      <c r="H20" s="11"/>
      <c r="I20" s="11"/>
      <c r="J20" s="11">
        <f t="shared" si="1"/>
        <v>20</v>
      </c>
      <c r="K20" s="11">
        <f>SUM($J$5:J20)</f>
        <v>1135</v>
      </c>
      <c r="L20" s="11">
        <v>3</v>
      </c>
      <c r="M20" s="11">
        <v>5</v>
      </c>
      <c r="N20" s="11">
        <v>5</v>
      </c>
      <c r="O20" s="11">
        <v>5</v>
      </c>
      <c r="P20" s="11">
        <v>5</v>
      </c>
      <c r="Q20" s="11"/>
      <c r="R20" s="11"/>
      <c r="S20" s="11">
        <f t="shared" si="2"/>
        <v>20</v>
      </c>
      <c r="T20" s="11">
        <f>SUM($S$5:S20)</f>
        <v>955</v>
      </c>
      <c r="U20" s="11">
        <v>3</v>
      </c>
      <c r="V20" t="s">
        <v>19</v>
      </c>
      <c r="Y20" s="61" t="s">
        <v>20</v>
      </c>
      <c r="Z20" s="98" t="s">
        <v>3</v>
      </c>
      <c r="AA20" s="98" t="s">
        <v>424</v>
      </c>
      <c r="AB20" s="98" t="s">
        <v>4</v>
      </c>
      <c r="AC20" s="98" t="s">
        <v>423</v>
      </c>
    </row>
    <row r="21" spans="2:32" ht="15" customHeight="1" x14ac:dyDescent="0.2">
      <c r="B21" s="1" t="s">
        <v>52</v>
      </c>
      <c r="C21" t="s">
        <v>55</v>
      </c>
      <c r="D21" s="11"/>
      <c r="E21" s="11">
        <v>120</v>
      </c>
      <c r="F21" s="11"/>
      <c r="G21" s="11">
        <v>120</v>
      </c>
      <c r="H21" s="11"/>
      <c r="I21" s="11"/>
      <c r="J21" s="11">
        <f t="shared" si="1"/>
        <v>240</v>
      </c>
      <c r="K21" s="11">
        <f>SUM($J$5:J21)</f>
        <v>1375</v>
      </c>
      <c r="L21" s="11">
        <v>3</v>
      </c>
      <c r="M21" s="11"/>
      <c r="N21" s="11">
        <v>45</v>
      </c>
      <c r="O21" s="11"/>
      <c r="P21" s="11">
        <v>180</v>
      </c>
      <c r="Q21" s="11"/>
      <c r="R21" s="11"/>
      <c r="S21" s="11">
        <f t="shared" si="2"/>
        <v>225</v>
      </c>
      <c r="T21" s="11">
        <f>SUM($S$5:S21)</f>
        <v>1180</v>
      </c>
      <c r="U21" s="11">
        <v>4</v>
      </c>
      <c r="V21" t="s">
        <v>19</v>
      </c>
      <c r="Y21" s="62" t="s">
        <v>24</v>
      </c>
      <c r="Z21" s="100">
        <f>SUM(D:D)</f>
        <v>1980</v>
      </c>
      <c r="AA21" s="99">
        <f>Z21/60</f>
        <v>33</v>
      </c>
      <c r="AB21" s="100">
        <f>SUM(M:M)</f>
        <v>590</v>
      </c>
      <c r="AC21" s="99">
        <f>AB21/60</f>
        <v>9.8333333333333339</v>
      </c>
    </row>
    <row r="22" spans="2:32" ht="15" customHeight="1" x14ac:dyDescent="0.2">
      <c r="B22" s="1" t="s">
        <v>52</v>
      </c>
      <c r="C22" t="s">
        <v>56</v>
      </c>
      <c r="D22" s="11">
        <v>10</v>
      </c>
      <c r="E22" s="11">
        <v>10</v>
      </c>
      <c r="F22" s="11">
        <v>10</v>
      </c>
      <c r="G22" s="11">
        <v>10</v>
      </c>
      <c r="H22" s="11"/>
      <c r="I22" s="11"/>
      <c r="J22" s="11">
        <f t="shared" si="1"/>
        <v>40</v>
      </c>
      <c r="K22" s="11">
        <f>SUM($J$5:J22)</f>
        <v>1415</v>
      </c>
      <c r="L22" s="11">
        <v>3</v>
      </c>
      <c r="M22" s="11">
        <v>10</v>
      </c>
      <c r="N22" s="11">
        <v>10</v>
      </c>
      <c r="O22" s="11">
        <v>10</v>
      </c>
      <c r="P22" s="11">
        <v>10</v>
      </c>
      <c r="Q22" s="11"/>
      <c r="R22" s="11"/>
      <c r="S22" s="11">
        <f t="shared" si="2"/>
        <v>40</v>
      </c>
      <c r="T22" s="11">
        <f>SUM($S$5:S22)</f>
        <v>1220</v>
      </c>
      <c r="U22" s="11">
        <v>3</v>
      </c>
      <c r="V22" t="s">
        <v>19</v>
      </c>
      <c r="Y22" s="65" t="s">
        <v>6</v>
      </c>
      <c r="Z22" s="100">
        <f>SUM(E:E)</f>
        <v>1970</v>
      </c>
      <c r="AA22" s="99">
        <f t="shared" ref="AA22:AA26" si="3">Z22/60</f>
        <v>32.833333333333336</v>
      </c>
      <c r="AB22" s="100">
        <f>SUM(N:N)</f>
        <v>675</v>
      </c>
      <c r="AC22" s="99">
        <f t="shared" ref="AC22:AC26" si="4">AB22/60</f>
        <v>11.25</v>
      </c>
    </row>
    <row r="23" spans="2:32" ht="15" customHeight="1" x14ac:dyDescent="0.2">
      <c r="B23" s="1" t="s">
        <v>52</v>
      </c>
      <c r="C23" t="s">
        <v>250</v>
      </c>
      <c r="D23" s="11">
        <v>30</v>
      </c>
      <c r="E23" s="11">
        <v>30</v>
      </c>
      <c r="F23" s="11">
        <v>30</v>
      </c>
      <c r="G23" s="11">
        <v>30</v>
      </c>
      <c r="H23" s="11"/>
      <c r="I23" s="11"/>
      <c r="J23" s="11">
        <f t="shared" si="1"/>
        <v>120</v>
      </c>
      <c r="K23" s="11">
        <f>SUM($J$5:J23)</f>
        <v>1535</v>
      </c>
      <c r="L23" s="11">
        <v>3</v>
      </c>
      <c r="M23" s="11">
        <v>60</v>
      </c>
      <c r="N23" s="11">
        <v>60</v>
      </c>
      <c r="O23" s="11">
        <v>60</v>
      </c>
      <c r="P23" s="11">
        <v>60</v>
      </c>
      <c r="Q23" s="11"/>
      <c r="R23" s="11"/>
      <c r="S23" s="11">
        <f t="shared" si="2"/>
        <v>240</v>
      </c>
      <c r="T23" s="11">
        <f>SUM($S$5:S23)</f>
        <v>1460</v>
      </c>
      <c r="U23" s="11">
        <v>4</v>
      </c>
      <c r="V23" t="s">
        <v>19</v>
      </c>
      <c r="Y23" s="62" t="s">
        <v>31</v>
      </c>
      <c r="Z23" s="100">
        <f>SUM(F:F)</f>
        <v>1815</v>
      </c>
      <c r="AA23" s="99">
        <f t="shared" si="3"/>
        <v>30.25</v>
      </c>
      <c r="AB23" s="100">
        <f>SUM(O:O)</f>
        <v>505</v>
      </c>
      <c r="AC23" s="99">
        <f t="shared" si="4"/>
        <v>8.4166666666666661</v>
      </c>
    </row>
    <row r="24" spans="2:32" ht="15" customHeight="1" x14ac:dyDescent="0.2">
      <c r="B24" s="1" t="s">
        <v>52</v>
      </c>
      <c r="C24" t="s">
        <v>57</v>
      </c>
      <c r="D24" s="11">
        <v>5</v>
      </c>
      <c r="E24" s="11">
        <v>5</v>
      </c>
      <c r="F24" s="11">
        <v>5</v>
      </c>
      <c r="G24" s="11">
        <v>5</v>
      </c>
      <c r="H24" s="11"/>
      <c r="I24" s="11"/>
      <c r="J24" s="11">
        <f t="shared" si="1"/>
        <v>20</v>
      </c>
      <c r="K24" s="11">
        <f>SUM($J$5:J24)</f>
        <v>1555</v>
      </c>
      <c r="L24" s="11">
        <v>3</v>
      </c>
      <c r="M24" s="11">
        <v>5</v>
      </c>
      <c r="N24" s="11">
        <v>5</v>
      </c>
      <c r="O24" s="11">
        <v>5</v>
      </c>
      <c r="P24" s="11">
        <v>5</v>
      </c>
      <c r="Q24" s="11"/>
      <c r="R24" s="11"/>
      <c r="S24" s="11">
        <f t="shared" si="2"/>
        <v>20</v>
      </c>
      <c r="T24" s="11">
        <f>SUM($S$5:S24)</f>
        <v>1480</v>
      </c>
      <c r="U24" s="11">
        <v>4</v>
      </c>
      <c r="V24" t="s">
        <v>19</v>
      </c>
      <c r="Y24" s="65" t="s">
        <v>8</v>
      </c>
      <c r="Z24" s="100">
        <f>SUM(G:G)</f>
        <v>2085</v>
      </c>
      <c r="AA24" s="99">
        <f t="shared" si="3"/>
        <v>34.75</v>
      </c>
      <c r="AB24" s="100">
        <f>SUM(P:P)</f>
        <v>1040</v>
      </c>
      <c r="AC24" s="99">
        <f t="shared" si="4"/>
        <v>17.333333333333332</v>
      </c>
    </row>
    <row r="25" spans="2:32" ht="15" customHeight="1" x14ac:dyDescent="0.2">
      <c r="B25" s="1" t="s">
        <v>52</v>
      </c>
      <c r="C25" t="s">
        <v>58</v>
      </c>
      <c r="D25" s="11"/>
      <c r="E25" s="11">
        <v>180</v>
      </c>
      <c r="F25" s="11"/>
      <c r="G25" s="11"/>
      <c r="H25" s="11"/>
      <c r="I25" s="11"/>
      <c r="J25" s="11">
        <f t="shared" si="1"/>
        <v>180</v>
      </c>
      <c r="K25" s="11">
        <f>SUM($J$5:J25)</f>
        <v>1735</v>
      </c>
      <c r="L25" s="11">
        <v>3</v>
      </c>
      <c r="M25" s="11"/>
      <c r="N25" s="11">
        <v>120</v>
      </c>
      <c r="O25" s="11"/>
      <c r="P25" s="11">
        <v>120</v>
      </c>
      <c r="Q25" s="11"/>
      <c r="R25" s="11"/>
      <c r="S25" s="11">
        <f t="shared" si="2"/>
        <v>240</v>
      </c>
      <c r="T25" s="11">
        <f>SUM($S$5:S25)</f>
        <v>1720</v>
      </c>
      <c r="U25" s="11">
        <v>5</v>
      </c>
      <c r="V25" t="s">
        <v>19</v>
      </c>
      <c r="Y25" s="62" t="s">
        <v>9</v>
      </c>
      <c r="Z25" s="100">
        <f>SUM(H:H)</f>
        <v>160</v>
      </c>
      <c r="AA25" s="99">
        <f t="shared" si="3"/>
        <v>2.6666666666666665</v>
      </c>
      <c r="AB25" s="100">
        <f>SUM(Q:Q)</f>
        <v>85</v>
      </c>
      <c r="AC25" s="99">
        <f t="shared" si="4"/>
        <v>1.4166666666666667</v>
      </c>
    </row>
    <row r="26" spans="2:32" ht="15" customHeight="1" x14ac:dyDescent="0.2">
      <c r="B26" s="1" t="s">
        <v>52</v>
      </c>
      <c r="C26" t="s">
        <v>59</v>
      </c>
      <c r="D26" s="11"/>
      <c r="E26" s="11">
        <v>10</v>
      </c>
      <c r="F26" s="11">
        <v>10</v>
      </c>
      <c r="G26" s="11">
        <v>10</v>
      </c>
      <c r="H26" s="11"/>
      <c r="I26" s="11"/>
      <c r="J26" s="11">
        <f t="shared" si="1"/>
        <v>30</v>
      </c>
      <c r="K26" s="11">
        <f>SUM($J$5:J26)</f>
        <v>1765</v>
      </c>
      <c r="L26" s="11">
        <v>3</v>
      </c>
      <c r="M26" s="11"/>
      <c r="N26" s="11">
        <v>10</v>
      </c>
      <c r="O26" s="11">
        <v>10</v>
      </c>
      <c r="P26" s="11">
        <v>10</v>
      </c>
      <c r="Q26" s="11"/>
      <c r="R26" s="11"/>
      <c r="S26" s="11">
        <f t="shared" si="2"/>
        <v>30</v>
      </c>
      <c r="T26" s="11">
        <f>SUM($S$5:S26)</f>
        <v>1750</v>
      </c>
      <c r="U26" s="11">
        <v>5</v>
      </c>
      <c r="V26" t="s">
        <v>19</v>
      </c>
      <c r="Y26" s="65" t="s">
        <v>10</v>
      </c>
      <c r="Z26" s="100">
        <f>SUM(I:I)</f>
        <v>160</v>
      </c>
      <c r="AA26" s="99">
        <f t="shared" si="3"/>
        <v>2.6666666666666665</v>
      </c>
      <c r="AB26" s="100">
        <f>SUM(R:R)</f>
        <v>100</v>
      </c>
      <c r="AC26" s="99">
        <f t="shared" si="4"/>
        <v>1.6666666666666667</v>
      </c>
    </row>
    <row r="27" spans="2:32" ht="15" customHeight="1" x14ac:dyDescent="0.2">
      <c r="B27" s="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</row>
    <row r="28" spans="2:32" ht="15" customHeight="1" x14ac:dyDescent="0.2">
      <c r="B28" s="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Y28" s="97" t="s">
        <v>11</v>
      </c>
      <c r="Z28" s="31">
        <f>SUM(Z21:Z26)</f>
        <v>8170</v>
      </c>
      <c r="AA28" s="99">
        <f t="shared" ref="AA28:AC28" si="5">SUM(AA21:AA26)</f>
        <v>136.16666666666666</v>
      </c>
      <c r="AB28" s="31">
        <f t="shared" si="5"/>
        <v>2995</v>
      </c>
      <c r="AC28" s="99">
        <f t="shared" si="5"/>
        <v>49.916666666666657</v>
      </c>
    </row>
    <row r="29" spans="2:32" ht="15" customHeight="1" x14ac:dyDescent="0.2">
      <c r="B29" s="1"/>
      <c r="D29" s="11"/>
      <c r="E29" s="11"/>
      <c r="F29" s="11"/>
      <c r="G29" s="11"/>
      <c r="H29" s="11"/>
      <c r="I29" s="11"/>
      <c r="J29" s="11" t="str">
        <f t="shared" si="1"/>
        <v/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 spans="2:32" ht="15" customHeight="1" x14ac:dyDescent="0.2">
      <c r="D30" s="11"/>
      <c r="E30" s="11"/>
      <c r="F30" s="11"/>
      <c r="G30" s="11"/>
      <c r="H30" s="11"/>
      <c r="I30" s="11"/>
      <c r="J30" s="11" t="str">
        <f t="shared" si="1"/>
        <v/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spans="2:32" ht="15" customHeight="1" x14ac:dyDescent="0.2">
      <c r="B31" s="1" t="s">
        <v>60</v>
      </c>
      <c r="C31" t="s">
        <v>61</v>
      </c>
      <c r="D31" s="11">
        <v>10</v>
      </c>
      <c r="E31" s="11">
        <v>10</v>
      </c>
      <c r="F31" s="11">
        <v>10</v>
      </c>
      <c r="G31" s="11">
        <v>10</v>
      </c>
      <c r="H31" s="11"/>
      <c r="I31" s="11"/>
      <c r="J31" s="11">
        <f t="shared" si="1"/>
        <v>40</v>
      </c>
      <c r="K31" s="11">
        <f>SUM($J$5:J31)</f>
        <v>1805</v>
      </c>
      <c r="L31" s="11">
        <v>4</v>
      </c>
      <c r="M31" s="11">
        <v>10</v>
      </c>
      <c r="N31" s="11">
        <v>10</v>
      </c>
      <c r="O31" s="11">
        <v>10</v>
      </c>
      <c r="P31" s="11">
        <v>10</v>
      </c>
      <c r="Q31" s="11"/>
      <c r="R31" s="11"/>
      <c r="S31" s="11">
        <f t="shared" ref="S31:S39" si="6">SUM(M31:R31)</f>
        <v>40</v>
      </c>
      <c r="T31" s="11">
        <f>SUM($S$5:S31)</f>
        <v>1790</v>
      </c>
      <c r="U31" s="11">
        <v>4</v>
      </c>
      <c r="V31" t="s">
        <v>19</v>
      </c>
    </row>
    <row r="32" spans="2:32" ht="15" customHeight="1" x14ac:dyDescent="0.2">
      <c r="B32" s="1" t="s">
        <v>60</v>
      </c>
      <c r="C32" t="s">
        <v>62</v>
      </c>
      <c r="D32" s="11"/>
      <c r="E32" s="11">
        <v>15</v>
      </c>
      <c r="F32" s="11"/>
      <c r="G32" s="11">
        <v>30</v>
      </c>
      <c r="H32" s="11"/>
      <c r="I32" s="11"/>
      <c r="J32" s="11">
        <f t="shared" si="1"/>
        <v>45</v>
      </c>
      <c r="K32" s="11">
        <f>SUM($J$5:J32)</f>
        <v>1850</v>
      </c>
      <c r="L32" s="11">
        <v>4</v>
      </c>
      <c r="M32" s="11"/>
      <c r="N32" s="11">
        <v>35</v>
      </c>
      <c r="O32" s="11"/>
      <c r="P32" s="11">
        <v>30</v>
      </c>
      <c r="Q32" s="11"/>
      <c r="R32" s="11"/>
      <c r="S32" s="11">
        <f t="shared" si="6"/>
        <v>65</v>
      </c>
      <c r="T32" s="11">
        <f>SUM($S$5:S32)</f>
        <v>1855</v>
      </c>
      <c r="U32" s="11">
        <v>5</v>
      </c>
      <c r="V32" t="s">
        <v>19</v>
      </c>
    </row>
    <row r="33" spans="2:31" ht="15" customHeight="1" x14ac:dyDescent="0.2">
      <c r="B33" s="1" t="s">
        <v>60</v>
      </c>
      <c r="C33" t="s">
        <v>63</v>
      </c>
      <c r="D33" s="11">
        <v>10</v>
      </c>
      <c r="E33" s="11">
        <v>10</v>
      </c>
      <c r="F33" s="11">
        <v>10</v>
      </c>
      <c r="G33" s="11">
        <v>10</v>
      </c>
      <c r="H33" s="11"/>
      <c r="I33" s="11"/>
      <c r="J33" s="11">
        <f t="shared" si="1"/>
        <v>40</v>
      </c>
      <c r="K33" s="11">
        <f>SUM($J$5:J33)</f>
        <v>1890</v>
      </c>
      <c r="L33" s="11">
        <v>4</v>
      </c>
      <c r="M33" s="11">
        <v>10</v>
      </c>
      <c r="N33" s="11">
        <v>10</v>
      </c>
      <c r="O33" s="11">
        <v>10</v>
      </c>
      <c r="P33" s="11">
        <v>10</v>
      </c>
      <c r="Q33" s="11"/>
      <c r="R33" s="11"/>
      <c r="S33" s="11">
        <f t="shared" si="6"/>
        <v>40</v>
      </c>
      <c r="T33" s="11">
        <f>SUM($S$5:S33)</f>
        <v>1895</v>
      </c>
      <c r="U33" s="11">
        <v>4</v>
      </c>
      <c r="V33" t="s">
        <v>19</v>
      </c>
      <c r="Y33" s="97"/>
      <c r="Z33" s="97"/>
      <c r="AA33" s="97"/>
      <c r="AB33" s="97"/>
      <c r="AD33" s="97"/>
      <c r="AE33" s="97"/>
    </row>
    <row r="34" spans="2:31" ht="15" customHeight="1" x14ac:dyDescent="0.2">
      <c r="B34" s="1" t="s">
        <v>60</v>
      </c>
      <c r="C34" t="s">
        <v>64</v>
      </c>
      <c r="D34" s="11">
        <v>180</v>
      </c>
      <c r="F34" s="11"/>
      <c r="G34" s="11"/>
      <c r="H34" s="11"/>
      <c r="I34" s="11"/>
      <c r="J34" s="11">
        <f t="shared" si="1"/>
        <v>180</v>
      </c>
      <c r="K34" s="11">
        <f>SUM($J$5:J34)</f>
        <v>2070</v>
      </c>
      <c r="L34" s="11">
        <v>4</v>
      </c>
      <c r="M34" s="11">
        <v>60</v>
      </c>
      <c r="N34" s="11">
        <v>30</v>
      </c>
      <c r="O34" s="11"/>
      <c r="P34" s="11">
        <v>105</v>
      </c>
      <c r="Q34" s="11"/>
      <c r="R34" s="11"/>
      <c r="S34" s="11">
        <f t="shared" si="6"/>
        <v>195</v>
      </c>
      <c r="T34" s="11">
        <f>SUM($S$5:S34)</f>
        <v>2090</v>
      </c>
      <c r="U34" s="11">
        <v>5</v>
      </c>
      <c r="V34" t="s">
        <v>19</v>
      </c>
      <c r="AA34" s="31"/>
      <c r="AC34" s="31"/>
      <c r="AE34" s="31"/>
    </row>
    <row r="35" spans="2:31" ht="15" customHeight="1" x14ac:dyDescent="0.2">
      <c r="B35" s="1" t="s">
        <v>60</v>
      </c>
      <c r="C35" t="s">
        <v>251</v>
      </c>
      <c r="D35" s="11">
        <v>10</v>
      </c>
      <c r="E35" s="11">
        <v>10</v>
      </c>
      <c r="F35" s="11">
        <v>10</v>
      </c>
      <c r="G35" s="11">
        <v>10</v>
      </c>
      <c r="H35" s="11"/>
      <c r="I35" s="11"/>
      <c r="J35" s="11">
        <f t="shared" si="1"/>
        <v>40</v>
      </c>
      <c r="K35" s="11">
        <f>SUM($J$5:J35)</f>
        <v>2110</v>
      </c>
      <c r="L35" s="11">
        <v>4</v>
      </c>
      <c r="M35" s="11">
        <v>15</v>
      </c>
      <c r="N35" s="11">
        <v>15</v>
      </c>
      <c r="O35" s="11">
        <v>15</v>
      </c>
      <c r="P35" s="11">
        <v>15</v>
      </c>
      <c r="Q35" s="11"/>
      <c r="R35" s="11"/>
      <c r="S35" s="11">
        <f t="shared" si="6"/>
        <v>60</v>
      </c>
      <c r="T35" s="11">
        <f>SUM($S$5:S35)</f>
        <v>2150</v>
      </c>
      <c r="U35" s="11">
        <v>4</v>
      </c>
      <c r="V35" t="s">
        <v>19</v>
      </c>
      <c r="AA35" s="31"/>
      <c r="AC35" s="31"/>
      <c r="AE35" s="31"/>
    </row>
    <row r="36" spans="2:31" ht="15" customHeight="1" x14ac:dyDescent="0.2">
      <c r="B36" s="1" t="s">
        <v>60</v>
      </c>
      <c r="C36" t="s">
        <v>65</v>
      </c>
      <c r="D36" s="11"/>
      <c r="E36" s="11"/>
      <c r="F36" s="11">
        <v>180</v>
      </c>
      <c r="G36" s="11"/>
      <c r="H36" s="11"/>
      <c r="I36" s="11"/>
      <c r="J36" s="11">
        <f t="shared" si="1"/>
        <v>180</v>
      </c>
      <c r="K36" s="11">
        <f>SUM($J$5:J36)</f>
        <v>2290</v>
      </c>
      <c r="L36" s="11">
        <v>4</v>
      </c>
      <c r="M36" s="11"/>
      <c r="N36" s="11"/>
      <c r="O36" s="11">
        <v>120</v>
      </c>
      <c r="P36" s="11"/>
      <c r="Q36" s="11"/>
      <c r="R36" s="11"/>
      <c r="S36" s="11">
        <f t="shared" si="6"/>
        <v>120</v>
      </c>
      <c r="T36" s="11">
        <f>SUM($S$5:S36)</f>
        <v>2270</v>
      </c>
      <c r="U36" s="11">
        <v>6</v>
      </c>
      <c r="V36" t="s">
        <v>19</v>
      </c>
      <c r="AA36" s="31"/>
      <c r="AC36" s="31"/>
      <c r="AE36" s="31"/>
    </row>
    <row r="37" spans="2:31" ht="15" customHeight="1" x14ac:dyDescent="0.2">
      <c r="B37" s="1" t="s">
        <v>60</v>
      </c>
      <c r="C37" t="s">
        <v>66</v>
      </c>
      <c r="D37" s="11">
        <v>10</v>
      </c>
      <c r="E37" s="11">
        <v>10</v>
      </c>
      <c r="F37" s="11">
        <v>10</v>
      </c>
      <c r="G37" s="11">
        <v>10</v>
      </c>
      <c r="H37" s="11"/>
      <c r="I37" s="11"/>
      <c r="J37" s="11">
        <f t="shared" si="1"/>
        <v>40</v>
      </c>
      <c r="K37" s="11">
        <f>SUM($J$5:J37)</f>
        <v>2330</v>
      </c>
      <c r="L37" s="11">
        <v>4</v>
      </c>
      <c r="M37" s="11">
        <v>15</v>
      </c>
      <c r="N37" s="11">
        <v>15</v>
      </c>
      <c r="O37" s="11">
        <v>15</v>
      </c>
      <c r="P37" s="11">
        <v>15</v>
      </c>
      <c r="Q37" s="11"/>
      <c r="R37" s="11"/>
      <c r="S37" s="11">
        <f t="shared" si="6"/>
        <v>60</v>
      </c>
      <c r="T37" s="11">
        <f>SUM($S$5:S37)</f>
        <v>2330</v>
      </c>
      <c r="U37" s="11">
        <v>5</v>
      </c>
      <c r="V37" t="s">
        <v>19</v>
      </c>
      <c r="AA37" s="31"/>
      <c r="AC37" s="31"/>
      <c r="AE37" s="31"/>
    </row>
    <row r="38" spans="2:31" ht="15" customHeight="1" x14ac:dyDescent="0.2">
      <c r="B38" s="1" t="s">
        <v>60</v>
      </c>
      <c r="C38" t="s">
        <v>67</v>
      </c>
      <c r="D38" s="11"/>
      <c r="E38" s="11">
        <v>10</v>
      </c>
      <c r="F38" s="11">
        <v>10</v>
      </c>
      <c r="G38" s="11">
        <v>10</v>
      </c>
      <c r="H38" s="11"/>
      <c r="I38" s="11"/>
      <c r="J38" s="11">
        <f t="shared" si="1"/>
        <v>30</v>
      </c>
      <c r="K38" s="11">
        <f>SUM($J$5:J38)</f>
        <v>2360</v>
      </c>
      <c r="L38" s="11">
        <v>4</v>
      </c>
      <c r="M38" s="11"/>
      <c r="N38" s="11">
        <v>10</v>
      </c>
      <c r="O38" s="11">
        <v>10</v>
      </c>
      <c r="P38" s="11">
        <v>10</v>
      </c>
      <c r="Q38" s="11"/>
      <c r="R38" s="11"/>
      <c r="S38" s="11">
        <f t="shared" si="6"/>
        <v>30</v>
      </c>
      <c r="T38" s="11">
        <f>SUM($S$5:S38)</f>
        <v>2360</v>
      </c>
      <c r="U38" s="11">
        <v>6</v>
      </c>
      <c r="V38" t="s">
        <v>19</v>
      </c>
      <c r="AA38" s="31"/>
      <c r="AC38" s="31"/>
      <c r="AE38" s="31"/>
    </row>
    <row r="39" spans="2:31" ht="15" customHeight="1" x14ac:dyDescent="0.2">
      <c r="B39" s="1" t="s">
        <v>60</v>
      </c>
      <c r="C39" t="s">
        <v>68</v>
      </c>
      <c r="D39" s="11">
        <v>5</v>
      </c>
      <c r="E39" s="11">
        <v>5</v>
      </c>
      <c r="F39" s="11">
        <v>5</v>
      </c>
      <c r="G39" s="11">
        <v>5</v>
      </c>
      <c r="H39" s="11"/>
      <c r="I39" s="11"/>
      <c r="J39" s="11">
        <f t="shared" si="1"/>
        <v>20</v>
      </c>
      <c r="K39" s="11">
        <f>SUM($J$5:J39)</f>
        <v>2380</v>
      </c>
      <c r="L39" s="11">
        <v>4</v>
      </c>
      <c r="M39" s="11">
        <v>5</v>
      </c>
      <c r="N39" s="11">
        <v>5</v>
      </c>
      <c r="O39" s="11">
        <v>5</v>
      </c>
      <c r="P39" s="11">
        <v>5</v>
      </c>
      <c r="Q39" s="11"/>
      <c r="R39" s="11"/>
      <c r="S39" s="11">
        <f t="shared" si="6"/>
        <v>20</v>
      </c>
      <c r="T39" s="11">
        <f>SUM($S$5:S39)</f>
        <v>2380</v>
      </c>
      <c r="U39" s="11">
        <v>4</v>
      </c>
      <c r="V39" t="s">
        <v>19</v>
      </c>
      <c r="AA39" s="31"/>
      <c r="AC39" s="31"/>
      <c r="AE39" s="31"/>
    </row>
    <row r="40" spans="2:31" ht="15" customHeight="1" x14ac:dyDescent="0.2">
      <c r="B40" s="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AA40" s="31"/>
      <c r="AC40" s="31"/>
      <c r="AE40" s="31"/>
    </row>
    <row r="41" spans="2:31" ht="15" customHeight="1" x14ac:dyDescent="0.2">
      <c r="D41" s="11"/>
      <c r="F41" s="11"/>
      <c r="G41" s="11"/>
      <c r="H41" s="11"/>
      <c r="I41" s="11"/>
      <c r="J41" s="11" t="str">
        <f t="shared" si="1"/>
        <v/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AA41" s="31"/>
      <c r="AC41" s="31"/>
      <c r="AE41" s="31"/>
    </row>
    <row r="42" spans="2:31" ht="15" customHeight="1" x14ac:dyDescent="0.2">
      <c r="D42" s="11"/>
      <c r="E42" s="11"/>
      <c r="F42" s="11"/>
      <c r="G42" s="11"/>
      <c r="H42" s="11"/>
      <c r="I42" s="11"/>
      <c r="J42" s="11" t="str">
        <f t="shared" si="1"/>
        <v/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AA42" s="31"/>
      <c r="AC42" s="31"/>
      <c r="AE42" s="31"/>
    </row>
    <row r="43" spans="2:31" ht="15" customHeight="1" x14ac:dyDescent="0.2">
      <c r="B43" s="1" t="s">
        <v>31</v>
      </c>
      <c r="C43" t="s">
        <v>69</v>
      </c>
      <c r="D43" s="11">
        <v>10</v>
      </c>
      <c r="E43" s="11">
        <v>10</v>
      </c>
      <c r="F43" s="11">
        <v>10</v>
      </c>
      <c r="G43" s="11">
        <v>10</v>
      </c>
      <c r="H43" s="11"/>
      <c r="I43" s="11"/>
      <c r="J43" s="11">
        <f t="shared" si="1"/>
        <v>40</v>
      </c>
      <c r="K43" s="11">
        <f>SUM($J$5:J43)</f>
        <v>2420</v>
      </c>
      <c r="L43" s="11">
        <v>5</v>
      </c>
      <c r="M43" s="11">
        <v>5</v>
      </c>
      <c r="N43" s="11">
        <v>40</v>
      </c>
      <c r="O43" s="11">
        <v>5</v>
      </c>
      <c r="P43" s="11">
        <v>35</v>
      </c>
      <c r="Q43" s="11"/>
      <c r="R43" s="11"/>
      <c r="S43" s="11">
        <f t="shared" ref="S43:S49" si="7">SUM(M43:R43)</f>
        <v>85</v>
      </c>
      <c r="T43" s="11">
        <f>SUM($S$5:S43)</f>
        <v>2465</v>
      </c>
      <c r="U43" s="11">
        <v>5</v>
      </c>
      <c r="V43" t="s">
        <v>19</v>
      </c>
      <c r="AA43" s="31"/>
    </row>
    <row r="44" spans="2:31" ht="15" customHeight="1" x14ac:dyDescent="0.2">
      <c r="B44" s="1" t="s">
        <v>31</v>
      </c>
      <c r="C44" t="s">
        <v>252</v>
      </c>
      <c r="D44" s="11"/>
      <c r="E44" s="11"/>
      <c r="F44" s="11"/>
      <c r="G44" s="11">
        <v>180</v>
      </c>
      <c r="H44" s="11"/>
      <c r="I44" s="11"/>
      <c r="J44" s="11">
        <f t="shared" si="1"/>
        <v>180</v>
      </c>
      <c r="K44" s="11">
        <f>SUM($J$5:J44)</f>
        <v>2600</v>
      </c>
      <c r="L44" s="11">
        <v>5</v>
      </c>
      <c r="M44" s="11"/>
      <c r="N44" s="11"/>
      <c r="O44" s="11"/>
      <c r="P44" s="11">
        <v>180</v>
      </c>
      <c r="Q44" s="11"/>
      <c r="R44" s="11"/>
      <c r="S44" s="11">
        <f t="shared" si="7"/>
        <v>180</v>
      </c>
      <c r="T44" s="11">
        <f>SUM($S$5:S44)</f>
        <v>2645</v>
      </c>
      <c r="U44" s="11">
        <v>6</v>
      </c>
      <c r="V44" t="s">
        <v>19</v>
      </c>
    </row>
    <row r="45" spans="2:31" ht="15" customHeight="1" x14ac:dyDescent="0.2">
      <c r="B45" s="1" t="s">
        <v>31</v>
      </c>
      <c r="C45" t="s">
        <v>70</v>
      </c>
      <c r="E45" s="11">
        <v>10</v>
      </c>
      <c r="F45" s="11">
        <v>10</v>
      </c>
      <c r="G45" s="11">
        <v>10</v>
      </c>
      <c r="H45" s="11"/>
      <c r="I45" s="11"/>
      <c r="J45" s="11">
        <f t="shared" si="1"/>
        <v>30</v>
      </c>
      <c r="K45" s="11">
        <f>SUM($J$5:J45)</f>
        <v>2630</v>
      </c>
      <c r="L45" s="11">
        <v>5</v>
      </c>
      <c r="N45" s="10">
        <v>10</v>
      </c>
      <c r="O45" s="10">
        <v>10</v>
      </c>
      <c r="P45" s="10">
        <v>10</v>
      </c>
      <c r="Q45" s="10"/>
      <c r="R45" s="10"/>
      <c r="S45" s="11">
        <f t="shared" si="7"/>
        <v>30</v>
      </c>
      <c r="T45" s="11">
        <f>SUM($S$5:S45)</f>
        <v>2675</v>
      </c>
      <c r="U45" s="11">
        <v>6</v>
      </c>
      <c r="V45" t="s">
        <v>19</v>
      </c>
    </row>
    <row r="46" spans="2:31" ht="15" customHeight="1" x14ac:dyDescent="0.2">
      <c r="B46" s="1" t="s">
        <v>31</v>
      </c>
      <c r="C46" t="s">
        <v>71</v>
      </c>
      <c r="D46" s="11">
        <v>10</v>
      </c>
      <c r="E46" s="11">
        <v>10</v>
      </c>
      <c r="F46" s="11">
        <v>10</v>
      </c>
      <c r="G46" s="11">
        <v>10</v>
      </c>
      <c r="H46" s="11"/>
      <c r="I46" s="11"/>
      <c r="J46" s="11">
        <f t="shared" si="1"/>
        <v>40</v>
      </c>
      <c r="K46" s="11">
        <f>SUM($J$5:J46)</f>
        <v>2670</v>
      </c>
      <c r="L46" s="11">
        <v>5</v>
      </c>
      <c r="M46" s="11">
        <v>10</v>
      </c>
      <c r="N46" s="11">
        <v>10</v>
      </c>
      <c r="O46" s="11">
        <v>10</v>
      </c>
      <c r="P46" s="11">
        <v>10</v>
      </c>
      <c r="Q46" s="11"/>
      <c r="R46" s="11"/>
      <c r="S46" s="11">
        <f t="shared" si="7"/>
        <v>40</v>
      </c>
      <c r="T46" s="11">
        <f>SUM($S$5:S46)</f>
        <v>2715</v>
      </c>
      <c r="U46" s="11">
        <v>5</v>
      </c>
      <c r="V46" t="s">
        <v>19</v>
      </c>
    </row>
    <row r="47" spans="2:31" ht="15" customHeight="1" x14ac:dyDescent="0.2">
      <c r="B47" s="1" t="s">
        <v>31</v>
      </c>
      <c r="C47" t="s">
        <v>72</v>
      </c>
      <c r="D47" s="11"/>
      <c r="E47" s="11">
        <v>10</v>
      </c>
      <c r="F47" s="11">
        <v>10</v>
      </c>
      <c r="G47" s="11">
        <v>10</v>
      </c>
      <c r="H47" s="11"/>
      <c r="I47" s="11"/>
      <c r="J47" s="11">
        <f t="shared" si="1"/>
        <v>30</v>
      </c>
      <c r="K47" s="11">
        <f>SUM($J$5:J47)</f>
        <v>2700</v>
      </c>
      <c r="L47" s="11">
        <v>5</v>
      </c>
      <c r="M47" s="11"/>
      <c r="N47" s="11"/>
      <c r="O47" s="11"/>
      <c r="P47" s="11"/>
      <c r="Q47" s="11"/>
      <c r="R47" s="11"/>
      <c r="S47" s="11">
        <f t="shared" si="7"/>
        <v>0</v>
      </c>
      <c r="T47" s="11">
        <f>SUM($S$5:S47)</f>
        <v>2715</v>
      </c>
      <c r="U47" s="11"/>
      <c r="V47" t="s">
        <v>182</v>
      </c>
    </row>
    <row r="48" spans="2:31" ht="15" customHeight="1" x14ac:dyDescent="0.2">
      <c r="B48" s="1" t="s">
        <v>31</v>
      </c>
      <c r="C48" t="s">
        <v>73</v>
      </c>
      <c r="D48" s="11">
        <v>5</v>
      </c>
      <c r="E48" s="11">
        <v>5</v>
      </c>
      <c r="F48" s="11">
        <v>5</v>
      </c>
      <c r="G48" s="11">
        <v>5</v>
      </c>
      <c r="H48" s="11"/>
      <c r="I48" s="11"/>
      <c r="J48" s="11">
        <f t="shared" si="1"/>
        <v>20</v>
      </c>
      <c r="K48" s="11">
        <f>SUM($J$5:J48)</f>
        <v>2720</v>
      </c>
      <c r="L48" s="11">
        <v>5</v>
      </c>
      <c r="M48" s="11">
        <v>5</v>
      </c>
      <c r="N48" s="11">
        <v>5</v>
      </c>
      <c r="O48" s="11">
        <v>5</v>
      </c>
      <c r="P48" s="11">
        <v>5</v>
      </c>
      <c r="Q48" s="11"/>
      <c r="R48" s="11"/>
      <c r="S48" s="11">
        <f t="shared" si="7"/>
        <v>20</v>
      </c>
      <c r="T48" s="11">
        <f>SUM($S$5:S48)</f>
        <v>2735</v>
      </c>
      <c r="U48" s="11">
        <v>5</v>
      </c>
      <c r="V48" t="s">
        <v>19</v>
      </c>
    </row>
    <row r="49" spans="2:22" ht="15" customHeight="1" x14ac:dyDescent="0.2">
      <c r="B49" s="1" t="s">
        <v>31</v>
      </c>
      <c r="C49" t="s">
        <v>253</v>
      </c>
      <c r="D49" s="11">
        <f>$Z$15</f>
        <v>30</v>
      </c>
      <c r="E49" s="11">
        <f>$Z$15</f>
        <v>30</v>
      </c>
      <c r="F49" s="11">
        <f>$Z$15</f>
        <v>30</v>
      </c>
      <c r="G49" s="11">
        <f>$Z$15</f>
        <v>30</v>
      </c>
      <c r="H49" s="11"/>
      <c r="I49" s="11"/>
      <c r="J49" s="11">
        <f t="shared" si="1"/>
        <v>120</v>
      </c>
      <c r="K49" s="11">
        <f>SUM($J$5:J49)</f>
        <v>2840</v>
      </c>
      <c r="L49" s="11">
        <v>5</v>
      </c>
      <c r="M49" s="11">
        <v>30</v>
      </c>
      <c r="N49" s="11">
        <v>20</v>
      </c>
      <c r="O49" s="11"/>
      <c r="P49" s="11">
        <v>40</v>
      </c>
      <c r="Q49" s="11"/>
      <c r="R49" s="11"/>
      <c r="S49" s="11">
        <f t="shared" si="7"/>
        <v>90</v>
      </c>
      <c r="T49" s="11">
        <f>SUM($S$5:S49)</f>
        <v>2825</v>
      </c>
      <c r="U49" s="11">
        <v>5</v>
      </c>
      <c r="V49" t="s">
        <v>19</v>
      </c>
    </row>
    <row r="50" spans="2:22" ht="15" customHeight="1" x14ac:dyDescent="0.2">
      <c r="D50" s="11"/>
      <c r="E50" s="11"/>
      <c r="F50" s="11"/>
      <c r="G50" s="11"/>
      <c r="H50" s="11"/>
      <c r="I50" s="11"/>
      <c r="J50" s="11" t="str">
        <f t="shared" si="1"/>
        <v/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</row>
    <row r="51" spans="2:22" ht="15" customHeight="1" x14ac:dyDescent="0.2">
      <c r="D51" s="11"/>
      <c r="E51" s="11"/>
      <c r="F51" s="11"/>
      <c r="G51" s="11"/>
      <c r="H51" s="11"/>
      <c r="I51" s="11"/>
      <c r="J51" s="11" t="str">
        <f t="shared" si="1"/>
        <v/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</row>
    <row r="52" spans="2:22" ht="15" customHeight="1" x14ac:dyDescent="0.2">
      <c r="B52" s="1" t="s">
        <v>74</v>
      </c>
      <c r="C52" t="s">
        <v>75</v>
      </c>
      <c r="D52" s="11">
        <v>10</v>
      </c>
      <c r="E52" s="11">
        <v>10</v>
      </c>
      <c r="F52" s="11">
        <v>10</v>
      </c>
      <c r="G52" s="11">
        <v>10</v>
      </c>
      <c r="H52" s="11"/>
      <c r="I52" s="11"/>
      <c r="J52" s="11">
        <f t="shared" si="1"/>
        <v>40</v>
      </c>
      <c r="K52" s="11">
        <f>SUM($J$5:J52)</f>
        <v>2880</v>
      </c>
      <c r="L52" s="11">
        <v>6</v>
      </c>
      <c r="M52" s="11">
        <v>5</v>
      </c>
      <c r="N52" s="11">
        <v>15</v>
      </c>
      <c r="O52" s="11">
        <v>5</v>
      </c>
      <c r="P52" s="11">
        <v>25</v>
      </c>
      <c r="Q52" s="11"/>
      <c r="R52" s="11"/>
      <c r="S52" s="11">
        <f>SUM(M52:R52)</f>
        <v>50</v>
      </c>
      <c r="T52" s="11">
        <f>SUM($S$5:S52)</f>
        <v>2875</v>
      </c>
      <c r="U52" s="11">
        <v>5</v>
      </c>
      <c r="V52" t="s">
        <v>19</v>
      </c>
    </row>
    <row r="53" spans="2:22" ht="15" customHeight="1" x14ac:dyDescent="0.2">
      <c r="B53" s="1" t="s">
        <v>74</v>
      </c>
      <c r="C53" t="s">
        <v>76</v>
      </c>
      <c r="D53" s="11"/>
      <c r="E53" s="11"/>
      <c r="F53" s="11"/>
      <c r="G53" s="11">
        <v>120</v>
      </c>
      <c r="H53" s="11"/>
      <c r="I53" s="11"/>
      <c r="J53" s="11">
        <f t="shared" si="1"/>
        <v>120</v>
      </c>
      <c r="K53" s="11">
        <f>SUM($J$5:J53)</f>
        <v>3000</v>
      </c>
      <c r="L53" s="11">
        <v>6</v>
      </c>
      <c r="M53" s="11"/>
      <c r="N53" s="11"/>
      <c r="O53" s="11"/>
      <c r="S53" s="11">
        <f>SUM(M53:R53)</f>
        <v>0</v>
      </c>
      <c r="T53" s="11">
        <f>SUM($S$5:S53)</f>
        <v>2875</v>
      </c>
      <c r="U53" s="11"/>
      <c r="V53" t="s">
        <v>182</v>
      </c>
    </row>
    <row r="54" spans="2:22" ht="15" customHeight="1" x14ac:dyDescent="0.2">
      <c r="B54" s="1" t="s">
        <v>74</v>
      </c>
      <c r="C54" t="s">
        <v>77</v>
      </c>
      <c r="D54" s="11"/>
      <c r="E54" s="11">
        <v>10</v>
      </c>
      <c r="F54" s="11">
        <v>10</v>
      </c>
      <c r="G54" s="11">
        <v>10</v>
      </c>
      <c r="H54" s="11"/>
      <c r="I54" s="11"/>
      <c r="J54" s="11">
        <f t="shared" si="1"/>
        <v>30</v>
      </c>
      <c r="K54" s="11">
        <f>SUM($J$5:J54)</f>
        <v>3030</v>
      </c>
      <c r="L54" s="11">
        <v>6</v>
      </c>
      <c r="M54" s="11"/>
      <c r="N54" s="11"/>
      <c r="O54" s="11"/>
      <c r="P54" s="11"/>
      <c r="Q54" s="11"/>
      <c r="R54" s="11"/>
      <c r="S54" s="11">
        <f>SUM(M54:R54)</f>
        <v>0</v>
      </c>
      <c r="T54" s="11">
        <f>SUM($S$5:S54)</f>
        <v>2875</v>
      </c>
      <c r="U54" s="11"/>
      <c r="V54" t="s">
        <v>182</v>
      </c>
    </row>
    <row r="55" spans="2:22" ht="15" customHeight="1" x14ac:dyDescent="0.2">
      <c r="B55" s="1" t="s">
        <v>74</v>
      </c>
      <c r="C55" t="s">
        <v>78</v>
      </c>
      <c r="D55" s="11">
        <v>5</v>
      </c>
      <c r="E55" s="11">
        <v>5</v>
      </c>
      <c r="F55" s="11">
        <v>5</v>
      </c>
      <c r="G55" s="11">
        <v>5</v>
      </c>
      <c r="H55" s="11"/>
      <c r="I55" s="11"/>
      <c r="J55" s="11">
        <f t="shared" si="1"/>
        <v>20</v>
      </c>
      <c r="K55" s="11">
        <f>SUM($J$5:J55)</f>
        <v>3050</v>
      </c>
      <c r="L55" s="11">
        <v>6</v>
      </c>
      <c r="M55" s="11">
        <v>5</v>
      </c>
      <c r="N55" s="11">
        <v>5</v>
      </c>
      <c r="O55" s="11">
        <v>5</v>
      </c>
      <c r="P55" s="11">
        <v>5</v>
      </c>
      <c r="Q55" s="11"/>
      <c r="R55" s="11"/>
      <c r="S55" s="11">
        <f>SUM(M55:R55)</f>
        <v>20</v>
      </c>
      <c r="T55" s="11">
        <f>SUM($S$5:S55)</f>
        <v>2895</v>
      </c>
      <c r="U55" s="11"/>
    </row>
    <row r="56" spans="2:22" ht="15" customHeight="1" x14ac:dyDescent="0.2">
      <c r="B56" s="1" t="s">
        <v>74</v>
      </c>
      <c r="C56" t="s">
        <v>79</v>
      </c>
      <c r="D56" s="11">
        <f>$Z$15</f>
        <v>30</v>
      </c>
      <c r="E56" s="11">
        <f>$Z$15</f>
        <v>30</v>
      </c>
      <c r="F56" s="11">
        <f>$Z$15</f>
        <v>30</v>
      </c>
      <c r="G56" s="11">
        <f>$Z$15</f>
        <v>30</v>
      </c>
      <c r="H56" s="11"/>
      <c r="I56" s="11"/>
      <c r="J56" s="11">
        <f t="shared" si="1"/>
        <v>120</v>
      </c>
      <c r="K56" s="11">
        <f>SUM($J$5:J56)</f>
        <v>3170</v>
      </c>
      <c r="L56" s="11">
        <v>6</v>
      </c>
      <c r="M56" s="11">
        <v>10</v>
      </c>
      <c r="N56" s="11">
        <v>20</v>
      </c>
      <c r="O56" s="11">
        <v>60</v>
      </c>
      <c r="P56" s="11">
        <v>10</v>
      </c>
      <c r="Q56" s="11"/>
      <c r="R56" s="11"/>
      <c r="S56" s="11">
        <f>SUM(M56:R56)</f>
        <v>100</v>
      </c>
      <c r="T56" s="11">
        <f>SUM($S$5:S56)</f>
        <v>2995</v>
      </c>
      <c r="U56" s="11"/>
    </row>
    <row r="57" spans="2:22" ht="15" customHeight="1" x14ac:dyDescent="0.2">
      <c r="D57" s="11"/>
      <c r="E57" s="11"/>
      <c r="F57" s="11"/>
      <c r="G57" s="11"/>
      <c r="H57" s="11"/>
      <c r="I57" s="11"/>
      <c r="J57" s="11" t="str">
        <f t="shared" si="1"/>
        <v/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</row>
    <row r="58" spans="2:22" ht="15" customHeight="1" x14ac:dyDescent="0.2">
      <c r="D58" s="11"/>
      <c r="E58" s="11"/>
      <c r="F58" s="11"/>
      <c r="G58" s="11"/>
      <c r="H58" s="11"/>
      <c r="I58" s="11"/>
      <c r="J58" s="11" t="str">
        <f t="shared" si="1"/>
        <v/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</row>
    <row r="59" spans="2:22" ht="15" customHeight="1" x14ac:dyDescent="0.2">
      <c r="B59" s="1" t="s">
        <v>80</v>
      </c>
      <c r="C59" t="s">
        <v>81</v>
      </c>
      <c r="D59" s="11"/>
      <c r="E59" s="11">
        <v>240</v>
      </c>
      <c r="F59" s="11"/>
      <c r="G59" s="11">
        <v>240</v>
      </c>
      <c r="H59" s="11"/>
      <c r="I59" s="11"/>
      <c r="J59" s="11">
        <f t="shared" si="1"/>
        <v>480</v>
      </c>
      <c r="K59" s="11">
        <f>SUM($J$5:J59)</f>
        <v>3650</v>
      </c>
      <c r="L59" s="11">
        <v>7</v>
      </c>
      <c r="M59" s="11"/>
      <c r="N59" s="11"/>
      <c r="O59" s="11"/>
      <c r="P59" s="11"/>
      <c r="Q59" s="11"/>
      <c r="R59" s="11"/>
      <c r="S59" s="11">
        <f t="shared" ref="S59:S69" si="8">SUM(M59:R59)</f>
        <v>0</v>
      </c>
      <c r="T59" s="11">
        <f>SUM($S$5:S59)</f>
        <v>2995</v>
      </c>
      <c r="U59" s="11"/>
    </row>
    <row r="60" spans="2:22" ht="15" customHeight="1" x14ac:dyDescent="0.2">
      <c r="B60" s="1" t="s">
        <v>80</v>
      </c>
      <c r="C60" t="s">
        <v>82</v>
      </c>
      <c r="D60" s="11">
        <v>180</v>
      </c>
      <c r="E60" s="11"/>
      <c r="F60" s="11">
        <v>180</v>
      </c>
      <c r="G60" s="11"/>
      <c r="H60" s="11"/>
      <c r="I60" s="11"/>
      <c r="J60" s="11">
        <f t="shared" si="1"/>
        <v>360</v>
      </c>
      <c r="K60" s="11">
        <f>SUM($J$5:J60)</f>
        <v>4010</v>
      </c>
      <c r="L60" s="11">
        <v>7</v>
      </c>
      <c r="M60" s="11"/>
      <c r="N60" s="11"/>
      <c r="O60" s="11"/>
      <c r="P60" s="11"/>
      <c r="Q60" s="11"/>
      <c r="R60" s="11"/>
      <c r="S60" s="11">
        <f t="shared" si="8"/>
        <v>0</v>
      </c>
      <c r="T60" s="11">
        <f>SUM($S$5:S60)</f>
        <v>2995</v>
      </c>
      <c r="U60" s="11"/>
    </row>
    <row r="61" spans="2:22" ht="15" customHeight="1" x14ac:dyDescent="0.2">
      <c r="B61" s="1" t="s">
        <v>80</v>
      </c>
      <c r="C61" t="s">
        <v>83</v>
      </c>
      <c r="D61" s="11">
        <v>180</v>
      </c>
      <c r="E61" s="11"/>
      <c r="F61" s="11">
        <v>180</v>
      </c>
      <c r="G61" s="11"/>
      <c r="H61" s="11"/>
      <c r="I61" s="11"/>
      <c r="J61" s="11">
        <f t="shared" si="1"/>
        <v>360</v>
      </c>
      <c r="K61" s="11">
        <f>SUM($J$5:J61)</f>
        <v>4370</v>
      </c>
      <c r="L61" s="11">
        <v>7</v>
      </c>
      <c r="M61" s="11"/>
      <c r="N61" s="11"/>
      <c r="O61" s="11"/>
      <c r="P61" s="11"/>
      <c r="Q61" s="11"/>
      <c r="R61" s="11"/>
      <c r="S61" s="11">
        <f t="shared" si="8"/>
        <v>0</v>
      </c>
      <c r="T61" s="11">
        <f>SUM($S$5:S61)</f>
        <v>2995</v>
      </c>
      <c r="U61" s="11"/>
    </row>
    <row r="62" spans="2:22" ht="15" customHeight="1" x14ac:dyDescent="0.2">
      <c r="B62" s="1" t="s">
        <v>80</v>
      </c>
      <c r="C62" t="s">
        <v>84</v>
      </c>
      <c r="D62" s="11"/>
      <c r="E62" s="11">
        <v>120</v>
      </c>
      <c r="F62" s="11"/>
      <c r="G62" s="11">
        <v>120</v>
      </c>
      <c r="H62" s="11"/>
      <c r="I62" s="11"/>
      <c r="J62" s="11">
        <f t="shared" si="1"/>
        <v>240</v>
      </c>
      <c r="K62" s="11">
        <f>SUM($J$5:J62)</f>
        <v>4610</v>
      </c>
      <c r="L62" s="11">
        <v>7</v>
      </c>
      <c r="M62" s="11"/>
      <c r="N62" s="11"/>
      <c r="O62" s="11"/>
      <c r="P62" s="11"/>
      <c r="Q62" s="11"/>
      <c r="R62" s="11"/>
      <c r="S62" s="11">
        <f t="shared" si="8"/>
        <v>0</v>
      </c>
      <c r="T62" s="11">
        <f>SUM($S$5:S62)</f>
        <v>2995</v>
      </c>
      <c r="U62" s="11"/>
    </row>
    <row r="63" spans="2:22" ht="15" customHeight="1" x14ac:dyDescent="0.2">
      <c r="B63" s="1" t="s">
        <v>80</v>
      </c>
      <c r="C63" t="s">
        <v>85</v>
      </c>
      <c r="D63" s="11"/>
      <c r="E63" s="11">
        <v>120</v>
      </c>
      <c r="F63" s="11"/>
      <c r="G63" s="11">
        <v>120</v>
      </c>
      <c r="H63" s="11"/>
      <c r="I63" s="11"/>
      <c r="J63" s="11">
        <f t="shared" si="1"/>
        <v>240</v>
      </c>
      <c r="K63" s="11">
        <f>SUM($J$5:J63)</f>
        <v>4850</v>
      </c>
      <c r="L63" s="11">
        <v>7</v>
      </c>
      <c r="M63" s="11"/>
      <c r="N63" s="11"/>
      <c r="O63" s="11"/>
      <c r="P63" s="11"/>
      <c r="Q63" s="11"/>
      <c r="R63" s="11"/>
      <c r="S63" s="11">
        <f t="shared" si="8"/>
        <v>0</v>
      </c>
      <c r="T63" s="11">
        <f>SUM($S$5:S63)</f>
        <v>2995</v>
      </c>
      <c r="U63" s="11"/>
    </row>
    <row r="64" spans="2:22" ht="15" customHeight="1" x14ac:dyDescent="0.2">
      <c r="B64" s="1" t="s">
        <v>80</v>
      </c>
      <c r="C64" t="s">
        <v>86</v>
      </c>
      <c r="D64" s="11">
        <v>120</v>
      </c>
      <c r="E64" s="11"/>
      <c r="F64" s="11">
        <v>120</v>
      </c>
      <c r="G64" s="11"/>
      <c r="H64" s="11"/>
      <c r="I64" s="11"/>
      <c r="J64" s="11">
        <f t="shared" si="1"/>
        <v>240</v>
      </c>
      <c r="K64" s="11">
        <f>SUM($J$5:J64)</f>
        <v>5090</v>
      </c>
      <c r="L64" s="11">
        <v>7</v>
      </c>
      <c r="M64" s="11"/>
      <c r="N64" s="11"/>
      <c r="O64" s="11"/>
      <c r="P64" s="11"/>
      <c r="Q64" s="11"/>
      <c r="R64" s="11"/>
      <c r="S64" s="11">
        <f t="shared" si="8"/>
        <v>0</v>
      </c>
      <c r="T64" s="11">
        <f>SUM($S$5:S64)</f>
        <v>2995</v>
      </c>
      <c r="U64" s="11"/>
    </row>
    <row r="65" spans="2:21" ht="15" customHeight="1" x14ac:dyDescent="0.2">
      <c r="B65" s="1" t="s">
        <v>80</v>
      </c>
      <c r="C65" t="s">
        <v>87</v>
      </c>
      <c r="D65" s="11">
        <v>120</v>
      </c>
      <c r="E65" s="11"/>
      <c r="F65" s="11">
        <v>120</v>
      </c>
      <c r="G65" s="11"/>
      <c r="H65" s="11"/>
      <c r="I65" s="11"/>
      <c r="J65" s="11">
        <f t="shared" si="1"/>
        <v>240</v>
      </c>
      <c r="K65" s="11">
        <f>SUM($J$5:J65)</f>
        <v>5330</v>
      </c>
      <c r="L65" s="11">
        <v>7</v>
      </c>
      <c r="M65" s="11"/>
      <c r="N65" s="11"/>
      <c r="O65" s="11"/>
      <c r="P65" s="11"/>
      <c r="Q65" s="11"/>
      <c r="R65" s="11"/>
      <c r="S65" s="11">
        <f t="shared" si="8"/>
        <v>0</v>
      </c>
      <c r="T65" s="11">
        <f>SUM($S$5:S65)</f>
        <v>2995</v>
      </c>
      <c r="U65" s="11"/>
    </row>
    <row r="66" spans="2:21" ht="15" customHeight="1" x14ac:dyDescent="0.2">
      <c r="B66" s="1" t="s">
        <v>80</v>
      </c>
      <c r="C66" t="s">
        <v>88</v>
      </c>
      <c r="D66" s="11"/>
      <c r="E66" s="11">
        <v>120</v>
      </c>
      <c r="F66" s="11"/>
      <c r="G66" s="11">
        <v>120</v>
      </c>
      <c r="H66" s="11"/>
      <c r="I66" s="11"/>
      <c r="J66" s="11">
        <f t="shared" si="1"/>
        <v>240</v>
      </c>
      <c r="K66" s="11">
        <f>SUM($J$5:J66)</f>
        <v>5570</v>
      </c>
      <c r="L66" s="11">
        <v>7</v>
      </c>
      <c r="M66" s="11"/>
      <c r="N66" s="11"/>
      <c r="O66" s="11"/>
      <c r="P66" s="11"/>
      <c r="Q66" s="11"/>
      <c r="R66" s="11"/>
      <c r="S66" s="11">
        <f t="shared" si="8"/>
        <v>0</v>
      </c>
      <c r="T66" s="11">
        <f>SUM($S$5:S66)</f>
        <v>2995</v>
      </c>
      <c r="U66" s="11"/>
    </row>
    <row r="67" spans="2:21" ht="15" customHeight="1" x14ac:dyDescent="0.2">
      <c r="B67" s="1" t="s">
        <v>80</v>
      </c>
      <c r="C67" t="s">
        <v>89</v>
      </c>
      <c r="D67" s="11">
        <v>120</v>
      </c>
      <c r="E67" s="11">
        <v>120</v>
      </c>
      <c r="F67" s="11">
        <v>120</v>
      </c>
      <c r="G67" s="11">
        <v>120</v>
      </c>
      <c r="H67" s="11"/>
      <c r="I67" s="11"/>
      <c r="J67" s="11">
        <f t="shared" si="1"/>
        <v>480</v>
      </c>
      <c r="K67" s="11">
        <f>SUM($J$5:J67)</f>
        <v>6050</v>
      </c>
      <c r="L67" s="11">
        <v>7</v>
      </c>
      <c r="M67" s="11"/>
      <c r="N67" s="11"/>
      <c r="O67" s="11"/>
      <c r="P67" s="11"/>
      <c r="Q67" s="11"/>
      <c r="R67" s="11"/>
      <c r="S67" s="11">
        <f t="shared" si="8"/>
        <v>0</v>
      </c>
      <c r="T67" s="11">
        <f>SUM($S$5:S67)</f>
        <v>2995</v>
      </c>
      <c r="U67" s="11"/>
    </row>
    <row r="68" spans="2:21" ht="15" customHeight="1" x14ac:dyDescent="0.2">
      <c r="B68" s="1" t="s">
        <v>80</v>
      </c>
      <c r="C68" t="s">
        <v>90</v>
      </c>
      <c r="D68" s="11">
        <v>120</v>
      </c>
      <c r="E68" s="11">
        <v>120</v>
      </c>
      <c r="F68" s="11">
        <v>120</v>
      </c>
      <c r="G68" s="11">
        <v>120</v>
      </c>
      <c r="H68" s="11"/>
      <c r="I68" s="11"/>
      <c r="J68" s="11">
        <f t="shared" si="1"/>
        <v>480</v>
      </c>
      <c r="K68" s="11">
        <f>SUM($J$5:J68)</f>
        <v>6530</v>
      </c>
      <c r="L68" s="11">
        <v>7</v>
      </c>
      <c r="M68" s="11"/>
      <c r="N68" s="11"/>
      <c r="O68" s="11"/>
      <c r="P68" s="11"/>
      <c r="Q68" s="11"/>
      <c r="R68" s="11"/>
      <c r="S68" s="11">
        <f t="shared" si="8"/>
        <v>0</v>
      </c>
      <c r="T68" s="11">
        <f>SUM($S$5:S68)</f>
        <v>2995</v>
      </c>
      <c r="U68" s="11"/>
    </row>
    <row r="69" spans="2:21" ht="15" customHeight="1" x14ac:dyDescent="0.2">
      <c r="B69" s="1" t="s">
        <v>80</v>
      </c>
      <c r="C69" t="s">
        <v>254</v>
      </c>
      <c r="D69" s="11">
        <v>5</v>
      </c>
      <c r="E69" s="11">
        <v>5</v>
      </c>
      <c r="F69" s="11">
        <v>5</v>
      </c>
      <c r="G69" s="11">
        <v>5</v>
      </c>
      <c r="H69" s="11"/>
      <c r="I69" s="11"/>
      <c r="J69" s="11">
        <f t="shared" ref="J69:J95" si="9">IF(SUM(D69:I69)=0,"",SUM(D69:I69))</f>
        <v>20</v>
      </c>
      <c r="K69" s="11">
        <f>SUM($J$5:J69)</f>
        <v>6550</v>
      </c>
      <c r="L69" s="11">
        <v>7</v>
      </c>
      <c r="M69" s="11"/>
      <c r="N69" s="11"/>
      <c r="O69" s="11"/>
      <c r="P69" s="11"/>
      <c r="Q69" s="11"/>
      <c r="R69" s="11"/>
      <c r="S69" s="11">
        <f t="shared" si="8"/>
        <v>0</v>
      </c>
      <c r="T69" s="11">
        <f>SUM($S$5:S69)</f>
        <v>2995</v>
      </c>
      <c r="U69" s="11"/>
    </row>
    <row r="70" spans="2:21" ht="15" customHeight="1" x14ac:dyDescent="0.2">
      <c r="D70" s="11"/>
      <c r="E70" s="11"/>
      <c r="F70" s="11"/>
      <c r="G70" s="11"/>
      <c r="H70" s="11"/>
      <c r="I70" s="11"/>
      <c r="J70" s="11" t="str">
        <f t="shared" si="9"/>
        <v/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</row>
    <row r="71" spans="2:21" ht="15" customHeight="1" x14ac:dyDescent="0.2">
      <c r="D71" s="11"/>
      <c r="E71" s="11"/>
      <c r="F71" s="11"/>
      <c r="G71" s="11"/>
      <c r="H71" s="11"/>
      <c r="I71" s="11"/>
      <c r="J71" s="11" t="str">
        <f t="shared" si="9"/>
        <v/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</row>
    <row r="72" spans="2:21" ht="15" customHeight="1" x14ac:dyDescent="0.2">
      <c r="B72" s="1" t="s">
        <v>91</v>
      </c>
      <c r="C72" t="s">
        <v>92</v>
      </c>
      <c r="D72" s="11">
        <v>120</v>
      </c>
      <c r="E72" s="11">
        <v>120</v>
      </c>
      <c r="F72" s="11">
        <v>120</v>
      </c>
      <c r="G72" s="11">
        <v>120</v>
      </c>
      <c r="H72" s="11"/>
      <c r="I72" s="11"/>
      <c r="J72" s="11">
        <f t="shared" si="9"/>
        <v>480</v>
      </c>
      <c r="K72" s="11">
        <f>SUM($J$5:J72)</f>
        <v>7030</v>
      </c>
      <c r="L72" s="11">
        <v>8</v>
      </c>
      <c r="M72" s="11"/>
      <c r="N72" s="11"/>
      <c r="O72" s="11"/>
      <c r="P72" s="11"/>
      <c r="Q72" s="11"/>
      <c r="R72" s="11"/>
      <c r="S72" s="11">
        <f>SUM(M72:R72)</f>
        <v>0</v>
      </c>
      <c r="T72" s="11">
        <f>SUM($S$5:S72)</f>
        <v>2995</v>
      </c>
      <c r="U72" s="11"/>
    </row>
    <row r="73" spans="2:21" ht="15" customHeight="1" x14ac:dyDescent="0.2">
      <c r="B73" s="1" t="s">
        <v>91</v>
      </c>
      <c r="C73" t="s">
        <v>255</v>
      </c>
      <c r="D73" s="11">
        <v>120</v>
      </c>
      <c r="E73" s="11">
        <v>120</v>
      </c>
      <c r="F73" s="11">
        <v>120</v>
      </c>
      <c r="G73" s="11">
        <v>120</v>
      </c>
      <c r="H73" s="11"/>
      <c r="I73" s="11"/>
      <c r="J73" s="11">
        <f t="shared" si="9"/>
        <v>480</v>
      </c>
      <c r="K73" s="11">
        <f>SUM($J$5:J73)</f>
        <v>7510</v>
      </c>
      <c r="L73" s="11">
        <v>8</v>
      </c>
      <c r="M73" s="11"/>
      <c r="N73" s="11"/>
      <c r="O73" s="11"/>
      <c r="P73" s="11"/>
      <c r="Q73" s="11"/>
      <c r="R73" s="11"/>
      <c r="S73" s="11">
        <f>SUM(M73:R73)</f>
        <v>0</v>
      </c>
      <c r="T73" s="11">
        <f>SUM($S$5:S73)</f>
        <v>2995</v>
      </c>
      <c r="U73" s="11"/>
    </row>
    <row r="74" spans="2:21" ht="15" customHeight="1" x14ac:dyDescent="0.2">
      <c r="B74" s="1" t="s">
        <v>91</v>
      </c>
      <c r="C74" t="s">
        <v>256</v>
      </c>
      <c r="D74" s="11">
        <v>5</v>
      </c>
      <c r="E74" s="11">
        <v>5</v>
      </c>
      <c r="F74" s="11">
        <v>5</v>
      </c>
      <c r="G74" s="11">
        <v>5</v>
      </c>
      <c r="H74" s="11"/>
      <c r="I74" s="11"/>
      <c r="J74" s="11">
        <f t="shared" si="9"/>
        <v>20</v>
      </c>
      <c r="K74" s="11">
        <f>SUM($J$5:J74)</f>
        <v>7530</v>
      </c>
      <c r="L74" s="11">
        <v>8</v>
      </c>
      <c r="M74" s="11"/>
      <c r="N74" s="11"/>
      <c r="O74" s="11"/>
      <c r="P74" s="11"/>
      <c r="Q74" s="11"/>
      <c r="R74" s="11"/>
      <c r="S74" s="11">
        <f>SUM(M74:R74)</f>
        <v>0</v>
      </c>
      <c r="T74" s="11">
        <f>SUM($S$5:S74)</f>
        <v>2995</v>
      </c>
      <c r="U74" s="11"/>
    </row>
    <row r="75" spans="2:21" ht="15" customHeight="1" x14ac:dyDescent="0.2">
      <c r="B75" s="1" t="s">
        <v>91</v>
      </c>
      <c r="C75" t="s">
        <v>93</v>
      </c>
      <c r="D75" s="11">
        <f>$Z$15</f>
        <v>30</v>
      </c>
      <c r="E75" s="11">
        <f>$Z$15</f>
        <v>30</v>
      </c>
      <c r="F75" s="11">
        <f>$Z$15</f>
        <v>30</v>
      </c>
      <c r="G75" s="11">
        <f>$Z$15</f>
        <v>30</v>
      </c>
      <c r="H75" s="11"/>
      <c r="I75" s="11"/>
      <c r="J75" s="11">
        <f t="shared" si="9"/>
        <v>120</v>
      </c>
      <c r="K75" s="11">
        <f>SUM($J$5:J75)</f>
        <v>7650</v>
      </c>
      <c r="L75" s="11">
        <v>8</v>
      </c>
      <c r="M75" s="11"/>
      <c r="N75" s="11"/>
      <c r="O75" s="11"/>
      <c r="P75" s="11"/>
      <c r="Q75" s="11"/>
      <c r="R75" s="11"/>
      <c r="S75" s="11">
        <f>SUM(M75:R75)</f>
        <v>0</v>
      </c>
      <c r="T75" s="11">
        <f>SUM($S$5:S75)</f>
        <v>2995</v>
      </c>
      <c r="U75" s="11"/>
    </row>
    <row r="76" spans="2:21" ht="15" customHeight="1" x14ac:dyDescent="0.2">
      <c r="D76" s="11"/>
      <c r="E76" s="11"/>
      <c r="F76" s="11"/>
      <c r="G76" s="11"/>
      <c r="H76" s="11"/>
      <c r="I76" s="11"/>
      <c r="J76" s="11" t="str">
        <f t="shared" si="9"/>
        <v/>
      </c>
      <c r="K76" s="11"/>
      <c r="M76" s="11"/>
      <c r="N76" s="11"/>
      <c r="O76" s="11"/>
      <c r="P76" s="11"/>
      <c r="Q76" s="11"/>
      <c r="R76" s="11"/>
      <c r="S76" s="11"/>
      <c r="T76" s="11"/>
      <c r="U76" s="11"/>
    </row>
    <row r="77" spans="2:21" ht="15" customHeight="1" x14ac:dyDescent="0.2">
      <c r="D77" s="11"/>
      <c r="E77" s="11"/>
      <c r="F77" s="11"/>
      <c r="G77" s="11"/>
      <c r="H77" s="11"/>
      <c r="I77" s="11"/>
      <c r="J77" s="11" t="str">
        <f t="shared" si="9"/>
        <v/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</row>
    <row r="78" spans="2:21" ht="15" customHeight="1" x14ac:dyDescent="0.2">
      <c r="B78" s="1" t="s">
        <v>94</v>
      </c>
      <c r="C78" t="s">
        <v>95</v>
      </c>
      <c r="D78" s="11">
        <v>180</v>
      </c>
      <c r="E78" s="11"/>
      <c r="F78" s="11"/>
      <c r="G78" s="11"/>
      <c r="H78" s="11"/>
      <c r="I78" s="11"/>
      <c r="J78" s="11">
        <f t="shared" si="9"/>
        <v>180</v>
      </c>
      <c r="K78" s="11">
        <f>SUM($J$5:J78)</f>
        <v>7830</v>
      </c>
      <c r="L78" s="11">
        <v>9</v>
      </c>
      <c r="M78" s="11"/>
      <c r="N78" s="11"/>
      <c r="O78" s="11"/>
      <c r="P78" s="11"/>
      <c r="Q78" s="11"/>
      <c r="R78" s="11"/>
      <c r="S78" s="11">
        <f t="shared" ref="S78:S83" si="10">SUM(M78:R78)</f>
        <v>0</v>
      </c>
      <c r="T78" s="11">
        <f>SUM($S$5:S78)</f>
        <v>2995</v>
      </c>
      <c r="U78" s="11"/>
    </row>
    <row r="79" spans="2:21" ht="15" customHeight="1" x14ac:dyDescent="0.2">
      <c r="B79" s="1" t="s">
        <v>94</v>
      </c>
      <c r="C79" t="s">
        <v>96</v>
      </c>
      <c r="D79" s="11">
        <v>15</v>
      </c>
      <c r="E79" s="11">
        <v>15</v>
      </c>
      <c r="F79" s="11">
        <v>15</v>
      </c>
      <c r="G79" s="11">
        <v>15</v>
      </c>
      <c r="H79" s="11"/>
      <c r="I79" s="11"/>
      <c r="J79" s="11">
        <f t="shared" si="9"/>
        <v>60</v>
      </c>
      <c r="K79" s="11">
        <f>SUM($J$5:J79)</f>
        <v>7890</v>
      </c>
      <c r="L79" s="11">
        <v>9</v>
      </c>
      <c r="M79" s="11"/>
      <c r="N79" s="11"/>
      <c r="O79" s="11"/>
      <c r="P79" s="11"/>
      <c r="Q79" s="11"/>
      <c r="R79" s="11"/>
      <c r="S79" s="11">
        <f t="shared" si="10"/>
        <v>0</v>
      </c>
      <c r="T79" s="11">
        <f>SUM($S$5:S79)</f>
        <v>2995</v>
      </c>
      <c r="U79" s="11"/>
    </row>
    <row r="80" spans="2:21" ht="15" customHeight="1" x14ac:dyDescent="0.2">
      <c r="B80" s="1" t="s">
        <v>94</v>
      </c>
      <c r="C80" t="s">
        <v>97</v>
      </c>
      <c r="D80" s="11">
        <v>15</v>
      </c>
      <c r="E80" s="11">
        <v>15</v>
      </c>
      <c r="F80" s="11">
        <v>15</v>
      </c>
      <c r="G80" s="11">
        <v>15</v>
      </c>
      <c r="H80" s="11"/>
      <c r="I80" s="11"/>
      <c r="J80" s="11">
        <f t="shared" si="9"/>
        <v>60</v>
      </c>
      <c r="K80" s="11">
        <f>SUM($J$5:J80)</f>
        <v>7950</v>
      </c>
      <c r="L80" s="11">
        <v>9</v>
      </c>
      <c r="M80" s="11"/>
      <c r="N80" s="11"/>
      <c r="O80" s="11"/>
      <c r="P80" s="11"/>
      <c r="Q80" s="11"/>
      <c r="R80" s="11"/>
      <c r="S80" s="11">
        <f t="shared" si="10"/>
        <v>0</v>
      </c>
      <c r="T80" s="11">
        <f>SUM($S$5:S80)</f>
        <v>2995</v>
      </c>
      <c r="U80" s="11"/>
    </row>
    <row r="81" spans="2:21" ht="15" customHeight="1" x14ac:dyDescent="0.2">
      <c r="B81" s="1" t="s">
        <v>94</v>
      </c>
      <c r="C81" t="s">
        <v>98</v>
      </c>
      <c r="D81" s="11">
        <v>20</v>
      </c>
      <c r="E81" s="11">
        <v>20</v>
      </c>
      <c r="F81" s="11">
        <v>20</v>
      </c>
      <c r="G81" s="11">
        <v>20</v>
      </c>
      <c r="H81" s="11"/>
      <c r="I81" s="11"/>
      <c r="J81" s="11">
        <f t="shared" si="9"/>
        <v>80</v>
      </c>
      <c r="K81" s="11">
        <f>SUM($J$5:J81)</f>
        <v>8030</v>
      </c>
      <c r="L81" s="11">
        <v>9</v>
      </c>
      <c r="M81" s="11"/>
      <c r="N81" s="11"/>
      <c r="O81" s="11"/>
      <c r="P81" s="11"/>
      <c r="Q81" s="11"/>
      <c r="R81" s="11"/>
      <c r="S81" s="11">
        <f t="shared" si="10"/>
        <v>0</v>
      </c>
      <c r="T81" s="11">
        <f>SUM($S$5:S81)</f>
        <v>2995</v>
      </c>
      <c r="U81" s="11"/>
    </row>
    <row r="82" spans="2:21" ht="15" customHeight="1" x14ac:dyDescent="0.2">
      <c r="B82" s="1" t="s">
        <v>94</v>
      </c>
      <c r="C82" t="s">
        <v>99</v>
      </c>
      <c r="D82" s="11">
        <v>5</v>
      </c>
      <c r="E82" s="11">
        <v>5</v>
      </c>
      <c r="F82" s="11">
        <v>5</v>
      </c>
      <c r="G82" s="11">
        <v>5</v>
      </c>
      <c r="H82" s="11"/>
      <c r="I82" s="11"/>
      <c r="J82" s="11">
        <f t="shared" si="9"/>
        <v>20</v>
      </c>
      <c r="K82" s="11">
        <f>SUM($J$5:J82)</f>
        <v>8050</v>
      </c>
      <c r="L82" s="11">
        <v>9</v>
      </c>
      <c r="M82" s="11"/>
      <c r="N82" s="11"/>
      <c r="O82" s="11"/>
      <c r="P82" s="11"/>
      <c r="Q82" s="11"/>
      <c r="R82" s="11"/>
      <c r="S82" s="11">
        <f t="shared" si="10"/>
        <v>0</v>
      </c>
      <c r="T82" s="11">
        <f>SUM($S$5:S82)</f>
        <v>2995</v>
      </c>
      <c r="U82" s="11"/>
    </row>
    <row r="83" spans="2:21" ht="15" customHeight="1" x14ac:dyDescent="0.2">
      <c r="B83" s="1" t="s">
        <v>94</v>
      </c>
      <c r="C83" t="s">
        <v>100</v>
      </c>
      <c r="D83" s="11">
        <f>$Z$15</f>
        <v>30</v>
      </c>
      <c r="E83" s="11">
        <f>$Z$15</f>
        <v>30</v>
      </c>
      <c r="F83" s="11">
        <f>$Z$15</f>
        <v>30</v>
      </c>
      <c r="G83" s="11">
        <f>$Z$15</f>
        <v>30</v>
      </c>
      <c r="H83" s="11"/>
      <c r="I83" s="11"/>
      <c r="J83" s="11">
        <f t="shared" si="9"/>
        <v>120</v>
      </c>
      <c r="K83" s="11">
        <f>SUM($J$5:J83)</f>
        <v>8170</v>
      </c>
      <c r="L83" s="11">
        <v>9</v>
      </c>
      <c r="M83" s="11"/>
      <c r="N83" s="11"/>
      <c r="O83" s="11"/>
      <c r="P83" s="11"/>
      <c r="Q83" s="11"/>
      <c r="R83" s="11"/>
      <c r="S83" s="11">
        <f t="shared" si="10"/>
        <v>0</v>
      </c>
      <c r="T83" s="11">
        <f>SUM($S$5:S83)</f>
        <v>2995</v>
      </c>
      <c r="U83" s="11"/>
    </row>
    <row r="84" spans="2:21" ht="15" customHeight="1" x14ac:dyDescent="0.2">
      <c r="J84" s="11" t="str">
        <f t="shared" si="9"/>
        <v/>
      </c>
    </row>
    <row r="85" spans="2:21" ht="15" customHeight="1" x14ac:dyDescent="0.2">
      <c r="J85" s="11" t="str">
        <f t="shared" si="9"/>
        <v/>
      </c>
    </row>
    <row r="86" spans="2:21" ht="15" customHeight="1" x14ac:dyDescent="0.2">
      <c r="J86" s="11" t="str">
        <f t="shared" si="9"/>
        <v/>
      </c>
    </row>
    <row r="87" spans="2:21" ht="15" customHeight="1" x14ac:dyDescent="0.2">
      <c r="J87" s="11" t="str">
        <f t="shared" si="9"/>
        <v/>
      </c>
    </row>
    <row r="88" spans="2:21" ht="15" customHeight="1" x14ac:dyDescent="0.2">
      <c r="J88" s="11" t="str">
        <f t="shared" si="9"/>
        <v/>
      </c>
    </row>
    <row r="89" spans="2:21" ht="15" customHeight="1" x14ac:dyDescent="0.2">
      <c r="J89" s="11" t="str">
        <f t="shared" si="9"/>
        <v/>
      </c>
    </row>
    <row r="90" spans="2:21" ht="15" customHeight="1" x14ac:dyDescent="0.2">
      <c r="J90" s="11" t="str">
        <f t="shared" si="9"/>
        <v/>
      </c>
    </row>
    <row r="91" spans="2:21" ht="15" customHeight="1" x14ac:dyDescent="0.2">
      <c r="J91" s="11" t="str">
        <f t="shared" si="9"/>
        <v/>
      </c>
    </row>
    <row r="92" spans="2:21" ht="15" customHeight="1" x14ac:dyDescent="0.2">
      <c r="J92" s="11" t="str">
        <f t="shared" si="9"/>
        <v/>
      </c>
    </row>
    <row r="93" spans="2:21" ht="15" customHeight="1" x14ac:dyDescent="0.2">
      <c r="J93" s="11" t="str">
        <f t="shared" si="9"/>
        <v/>
      </c>
    </row>
    <row r="94" spans="2:21" ht="15" customHeight="1" x14ac:dyDescent="0.2">
      <c r="J94" s="11" t="str">
        <f t="shared" si="9"/>
        <v/>
      </c>
    </row>
    <row r="95" spans="2:21" ht="15" customHeight="1" x14ac:dyDescent="0.2">
      <c r="J95" s="11" t="str">
        <f t="shared" si="9"/>
        <v/>
      </c>
    </row>
    <row r="96" spans="2:21" ht="15" customHeight="1" x14ac:dyDescent="0.2">
      <c r="J96" s="11"/>
    </row>
    <row r="97" spans="10:10" ht="15" customHeight="1" x14ac:dyDescent="0.2">
      <c r="J97" s="11"/>
    </row>
    <row r="98" spans="10:10" ht="15" customHeight="1" x14ac:dyDescent="0.2">
      <c r="J98" s="11"/>
    </row>
    <row r="99" spans="10:10" ht="15" customHeight="1" x14ac:dyDescent="0.2">
      <c r="J99" s="11"/>
    </row>
    <row r="100" spans="10:10" ht="15" customHeight="1" x14ac:dyDescent="0.2">
      <c r="J100" s="11"/>
    </row>
    <row r="101" spans="10:10" ht="15" customHeight="1" x14ac:dyDescent="0.2">
      <c r="J101" s="11"/>
    </row>
    <row r="102" spans="10:10" ht="15" customHeight="1" x14ac:dyDescent="0.2">
      <c r="J102" s="11"/>
    </row>
    <row r="103" spans="10:10" ht="15" customHeight="1" x14ac:dyDescent="0.2">
      <c r="J103" s="11"/>
    </row>
    <row r="104" spans="10:10" ht="15" customHeight="1" x14ac:dyDescent="0.2">
      <c r="J104" s="11"/>
    </row>
    <row r="105" spans="10:10" ht="15" customHeight="1" x14ac:dyDescent="0.2">
      <c r="J105" s="11"/>
    </row>
    <row r="106" spans="10:10" ht="15" customHeight="1" x14ac:dyDescent="0.2">
      <c r="J106" s="11"/>
    </row>
    <row r="107" spans="10:10" ht="15" customHeight="1" x14ac:dyDescent="0.2">
      <c r="J107" s="11"/>
    </row>
    <row r="108" spans="10:10" ht="15" customHeight="1" x14ac:dyDescent="0.2">
      <c r="J108" s="11"/>
    </row>
    <row r="109" spans="10:10" ht="15" customHeight="1" x14ac:dyDescent="0.2">
      <c r="J109" s="11"/>
    </row>
    <row r="110" spans="10:10" ht="15" customHeight="1" x14ac:dyDescent="0.2">
      <c r="J110" s="11"/>
    </row>
    <row r="111" spans="10:10" ht="15" customHeight="1" x14ac:dyDescent="0.2">
      <c r="J111" s="11"/>
    </row>
    <row r="112" spans="10:10" ht="15" customHeight="1" x14ac:dyDescent="0.2">
      <c r="J112" s="11"/>
    </row>
    <row r="113" spans="10:10" ht="15" customHeight="1" x14ac:dyDescent="0.2">
      <c r="J113" s="11"/>
    </row>
    <row r="114" spans="10:10" ht="15" customHeight="1" x14ac:dyDescent="0.2">
      <c r="J114" s="11"/>
    </row>
    <row r="115" spans="10:10" ht="15" customHeight="1" x14ac:dyDescent="0.2">
      <c r="J115" s="11"/>
    </row>
    <row r="116" spans="10:10" ht="15" customHeight="1" x14ac:dyDescent="0.2">
      <c r="J116" s="11"/>
    </row>
    <row r="117" spans="10:10" ht="15" customHeight="1" x14ac:dyDescent="0.2">
      <c r="J117" s="11"/>
    </row>
    <row r="118" spans="10:10" ht="15" customHeight="1" x14ac:dyDescent="0.2">
      <c r="J118" s="11"/>
    </row>
    <row r="119" spans="10:10" ht="15" customHeight="1" x14ac:dyDescent="0.2">
      <c r="J119" s="11"/>
    </row>
    <row r="120" spans="10:10" ht="15" customHeight="1" x14ac:dyDescent="0.2">
      <c r="J120" s="11"/>
    </row>
    <row r="121" spans="10:10" ht="15" customHeight="1" x14ac:dyDescent="0.2">
      <c r="J121" s="11"/>
    </row>
    <row r="122" spans="10:10" ht="15" customHeight="1" x14ac:dyDescent="0.2">
      <c r="J122" s="11"/>
    </row>
    <row r="123" spans="10:10" ht="15" customHeight="1" x14ac:dyDescent="0.2">
      <c r="J123" s="11"/>
    </row>
    <row r="124" spans="10:10" ht="15" customHeight="1" x14ac:dyDescent="0.2">
      <c r="J124" s="11"/>
    </row>
    <row r="125" spans="10:10" ht="15" customHeight="1" x14ac:dyDescent="0.2">
      <c r="J125" s="11"/>
    </row>
    <row r="126" spans="10:10" ht="15" customHeight="1" x14ac:dyDescent="0.2">
      <c r="J126" s="11"/>
    </row>
    <row r="127" spans="10:10" ht="15" customHeight="1" x14ac:dyDescent="0.2">
      <c r="J127" s="11"/>
    </row>
    <row r="128" spans="10:10" ht="15" customHeight="1" x14ac:dyDescent="0.2">
      <c r="J128" s="11"/>
    </row>
    <row r="129" spans="10:10" ht="15" customHeight="1" x14ac:dyDescent="0.2">
      <c r="J129" s="11"/>
    </row>
    <row r="130" spans="10:10" ht="15" customHeight="1" x14ac:dyDescent="0.2">
      <c r="J130" s="11"/>
    </row>
    <row r="131" spans="10:10" ht="15" customHeight="1" x14ac:dyDescent="0.2">
      <c r="J131" s="11"/>
    </row>
    <row r="132" spans="10:10" ht="15" customHeight="1" x14ac:dyDescent="0.2">
      <c r="J132" s="11"/>
    </row>
    <row r="133" spans="10:10" ht="15" customHeight="1" x14ac:dyDescent="0.2">
      <c r="J133" s="11"/>
    </row>
    <row r="134" spans="10:10" ht="15" customHeight="1" x14ac:dyDescent="0.2">
      <c r="J134" s="11"/>
    </row>
    <row r="135" spans="10:10" ht="15" customHeight="1" x14ac:dyDescent="0.2">
      <c r="J135" s="11"/>
    </row>
    <row r="136" spans="10:10" ht="15" customHeight="1" x14ac:dyDescent="0.2">
      <c r="J136" s="11"/>
    </row>
    <row r="137" spans="10:10" ht="15" customHeight="1" x14ac:dyDescent="0.2">
      <c r="J137" s="11"/>
    </row>
    <row r="138" spans="10:10" ht="15" customHeight="1" x14ac:dyDescent="0.2">
      <c r="J138" s="11"/>
    </row>
    <row r="139" spans="10:10" ht="15" customHeight="1" x14ac:dyDescent="0.2">
      <c r="J139" s="11"/>
    </row>
    <row r="140" spans="10:10" ht="15" customHeight="1" x14ac:dyDescent="0.2">
      <c r="J140" s="11"/>
    </row>
    <row r="141" spans="10:10" ht="15" customHeight="1" x14ac:dyDescent="0.2">
      <c r="J141" s="11"/>
    </row>
    <row r="142" spans="10:10" ht="15" customHeight="1" x14ac:dyDescent="0.2">
      <c r="J142" s="11"/>
    </row>
    <row r="143" spans="10:10" ht="15" customHeight="1" x14ac:dyDescent="0.2">
      <c r="J143" s="11"/>
    </row>
    <row r="144" spans="10:10" ht="15" customHeight="1" x14ac:dyDescent="0.2">
      <c r="J144" s="11"/>
    </row>
    <row r="145" spans="10:10" ht="15" customHeight="1" x14ac:dyDescent="0.2">
      <c r="J145" s="11"/>
    </row>
    <row r="146" spans="10:10" ht="15" customHeight="1" x14ac:dyDescent="0.2">
      <c r="J146" s="11"/>
    </row>
    <row r="147" spans="10:10" ht="15" customHeight="1" x14ac:dyDescent="0.2">
      <c r="J147" s="11"/>
    </row>
    <row r="148" spans="10:10" ht="15" customHeight="1" x14ac:dyDescent="0.2">
      <c r="J148" s="11"/>
    </row>
    <row r="149" spans="10:10" ht="15" customHeight="1" x14ac:dyDescent="0.2">
      <c r="J149" s="11"/>
    </row>
    <row r="150" spans="10:10" ht="15" customHeight="1" x14ac:dyDescent="0.2">
      <c r="J150" s="11"/>
    </row>
    <row r="151" spans="10:10" ht="15" customHeight="1" x14ac:dyDescent="0.2">
      <c r="J151" s="11"/>
    </row>
    <row r="152" spans="10:10" ht="15" customHeight="1" x14ac:dyDescent="0.2">
      <c r="J152" s="11"/>
    </row>
    <row r="153" spans="10:10" ht="15" customHeight="1" x14ac:dyDescent="0.2">
      <c r="J153" s="11"/>
    </row>
    <row r="154" spans="10:10" ht="15" customHeight="1" x14ac:dyDescent="0.2">
      <c r="J154" s="11"/>
    </row>
    <row r="155" spans="10:10" ht="15" customHeight="1" x14ac:dyDescent="0.2">
      <c r="J155" s="11"/>
    </row>
    <row r="156" spans="10:10" ht="15" customHeight="1" x14ac:dyDescent="0.2">
      <c r="J156" s="11"/>
    </row>
    <row r="157" spans="10:10" ht="15" customHeight="1" x14ac:dyDescent="0.2">
      <c r="J157" s="11"/>
    </row>
    <row r="158" spans="10:10" ht="15" customHeight="1" x14ac:dyDescent="0.2">
      <c r="J158" s="11"/>
    </row>
    <row r="159" spans="10:10" ht="15" customHeight="1" x14ac:dyDescent="0.2">
      <c r="J159" s="11"/>
    </row>
    <row r="160" spans="10:10" ht="15" customHeight="1" x14ac:dyDescent="0.2">
      <c r="J160" s="11"/>
    </row>
    <row r="161" spans="10:10" ht="15" customHeight="1" x14ac:dyDescent="0.2">
      <c r="J161" s="11"/>
    </row>
    <row r="162" spans="10:10" ht="15" customHeight="1" x14ac:dyDescent="0.2">
      <c r="J162" s="11"/>
    </row>
    <row r="163" spans="10:10" ht="15" customHeight="1" x14ac:dyDescent="0.2">
      <c r="J163" s="11"/>
    </row>
    <row r="164" spans="10:10" ht="15" customHeight="1" x14ac:dyDescent="0.2">
      <c r="J164" s="11"/>
    </row>
    <row r="165" spans="10:10" ht="15" customHeight="1" x14ac:dyDescent="0.2">
      <c r="J165" s="11"/>
    </row>
    <row r="166" spans="10:10" ht="15" customHeight="1" x14ac:dyDescent="0.2">
      <c r="J166" s="11"/>
    </row>
    <row r="167" spans="10:10" ht="15" customHeight="1" x14ac:dyDescent="0.2">
      <c r="J167" s="11"/>
    </row>
    <row r="168" spans="10:10" ht="15" customHeight="1" x14ac:dyDescent="0.2">
      <c r="J168" s="11"/>
    </row>
    <row r="169" spans="10:10" ht="15" customHeight="1" x14ac:dyDescent="0.2">
      <c r="J169" s="11"/>
    </row>
    <row r="170" spans="10:10" ht="15" customHeight="1" x14ac:dyDescent="0.2">
      <c r="J170" s="11"/>
    </row>
    <row r="171" spans="10:10" ht="15" customHeight="1" x14ac:dyDescent="0.2">
      <c r="J171" s="11"/>
    </row>
    <row r="172" spans="10:10" ht="15" customHeight="1" x14ac:dyDescent="0.2">
      <c r="J172" s="11"/>
    </row>
    <row r="173" spans="10:10" ht="15" customHeight="1" x14ac:dyDescent="0.2">
      <c r="J173" s="11"/>
    </row>
    <row r="174" spans="10:10" ht="15" customHeight="1" x14ac:dyDescent="0.2">
      <c r="J174" s="11"/>
    </row>
    <row r="175" spans="10:10" ht="15" customHeight="1" x14ac:dyDescent="0.2">
      <c r="J175" s="11"/>
    </row>
    <row r="176" spans="10:10" ht="15" customHeight="1" x14ac:dyDescent="0.2">
      <c r="J176" s="11"/>
    </row>
    <row r="177" spans="10:10" ht="15" customHeight="1" x14ac:dyDescent="0.2">
      <c r="J177" s="11"/>
    </row>
    <row r="178" spans="10:10" ht="15" customHeight="1" x14ac:dyDescent="0.2">
      <c r="J178" s="11"/>
    </row>
    <row r="179" spans="10:10" ht="15" customHeight="1" x14ac:dyDescent="0.2">
      <c r="J179" s="11"/>
    </row>
    <row r="180" spans="10:10" ht="15" customHeight="1" x14ac:dyDescent="0.2">
      <c r="J180" s="11"/>
    </row>
    <row r="181" spans="10:10" ht="15" customHeight="1" x14ac:dyDescent="0.2">
      <c r="J181" s="11"/>
    </row>
    <row r="182" spans="10:10" ht="15" customHeight="1" x14ac:dyDescent="0.2">
      <c r="J182" s="11"/>
    </row>
    <row r="183" spans="10:10" ht="15" customHeight="1" x14ac:dyDescent="0.2">
      <c r="J183" s="11"/>
    </row>
    <row r="184" spans="10:10" ht="15" customHeight="1" x14ac:dyDescent="0.2">
      <c r="J184" s="11"/>
    </row>
    <row r="185" spans="10:10" ht="15" customHeight="1" x14ac:dyDescent="0.2">
      <c r="J185" s="11"/>
    </row>
    <row r="186" spans="10:10" ht="15" customHeight="1" x14ac:dyDescent="0.2">
      <c r="J186" s="11"/>
    </row>
    <row r="187" spans="10:10" ht="15" customHeight="1" x14ac:dyDescent="0.2">
      <c r="J187" s="11"/>
    </row>
    <row r="188" spans="10:10" ht="15" customHeight="1" x14ac:dyDescent="0.2">
      <c r="J188" s="11"/>
    </row>
    <row r="189" spans="10:10" ht="15" customHeight="1" x14ac:dyDescent="0.2">
      <c r="J189" s="11"/>
    </row>
    <row r="190" spans="10:10" ht="15" customHeight="1" x14ac:dyDescent="0.2">
      <c r="J190" s="11"/>
    </row>
    <row r="191" spans="10:10" ht="15" customHeight="1" x14ac:dyDescent="0.2">
      <c r="J191" s="11"/>
    </row>
    <row r="192" spans="10:10" ht="15" customHeight="1" x14ac:dyDescent="0.2">
      <c r="J192" s="11"/>
    </row>
    <row r="193" spans="10:10" ht="15" customHeight="1" x14ac:dyDescent="0.2">
      <c r="J193" s="11"/>
    </row>
    <row r="194" spans="10:10" ht="15" customHeight="1" x14ac:dyDescent="0.2">
      <c r="J194" s="11"/>
    </row>
    <row r="195" spans="10:10" ht="15" customHeight="1" x14ac:dyDescent="0.2">
      <c r="J195" s="11"/>
    </row>
    <row r="196" spans="10:10" ht="15" customHeight="1" x14ac:dyDescent="0.2">
      <c r="J196" s="11"/>
    </row>
    <row r="197" spans="10:10" ht="15" customHeight="1" x14ac:dyDescent="0.2">
      <c r="J197" s="11"/>
    </row>
    <row r="198" spans="10:10" ht="15" customHeight="1" x14ac:dyDescent="0.2">
      <c r="J198" s="11"/>
    </row>
    <row r="199" spans="10:10" ht="15" customHeight="1" x14ac:dyDescent="0.2">
      <c r="J199" s="11"/>
    </row>
    <row r="200" spans="10:10" ht="15" customHeight="1" x14ac:dyDescent="0.2">
      <c r="J200" s="11"/>
    </row>
    <row r="201" spans="10:10" ht="15" customHeight="1" x14ac:dyDescent="0.2">
      <c r="J201" s="11"/>
    </row>
    <row r="202" spans="10:10" ht="15" customHeight="1" x14ac:dyDescent="0.2">
      <c r="J202" s="11"/>
    </row>
    <row r="203" spans="10:10" ht="15" customHeight="1" x14ac:dyDescent="0.2">
      <c r="J203" s="11"/>
    </row>
    <row r="204" spans="10:10" ht="15" customHeight="1" x14ac:dyDescent="0.2">
      <c r="J204" s="11"/>
    </row>
    <row r="205" spans="10:10" ht="15" customHeight="1" x14ac:dyDescent="0.2">
      <c r="J205" s="11"/>
    </row>
    <row r="206" spans="10:10" ht="15" customHeight="1" x14ac:dyDescent="0.2">
      <c r="J206" s="11"/>
    </row>
    <row r="207" spans="10:10" ht="15" customHeight="1" x14ac:dyDescent="0.2">
      <c r="J207" s="11"/>
    </row>
    <row r="208" spans="10:10" ht="15" customHeight="1" x14ac:dyDescent="0.2">
      <c r="J208" s="11"/>
    </row>
    <row r="209" spans="10:10" ht="15" customHeight="1" x14ac:dyDescent="0.2">
      <c r="J209" s="11"/>
    </row>
    <row r="210" spans="10:10" ht="15" customHeight="1" x14ac:dyDescent="0.2">
      <c r="J210" s="11"/>
    </row>
    <row r="211" spans="10:10" ht="15" customHeight="1" x14ac:dyDescent="0.2">
      <c r="J211" s="11"/>
    </row>
    <row r="212" spans="10:10" ht="15" customHeight="1" x14ac:dyDescent="0.2">
      <c r="J212" s="11"/>
    </row>
    <row r="213" spans="10:10" ht="15" customHeight="1" x14ac:dyDescent="0.2">
      <c r="J213" s="11"/>
    </row>
    <row r="214" spans="10:10" ht="15" customHeight="1" x14ac:dyDescent="0.2">
      <c r="J214" s="11"/>
    </row>
    <row r="215" spans="10:10" ht="15" customHeight="1" x14ac:dyDescent="0.2">
      <c r="J215" s="11"/>
    </row>
    <row r="216" spans="10:10" ht="15" customHeight="1" x14ac:dyDescent="0.2">
      <c r="J216" s="11"/>
    </row>
    <row r="217" spans="10:10" ht="15" customHeight="1" x14ac:dyDescent="0.2">
      <c r="J217" s="11"/>
    </row>
    <row r="218" spans="10:10" ht="15" customHeight="1" x14ac:dyDescent="0.2">
      <c r="J218" s="11"/>
    </row>
    <row r="219" spans="10:10" ht="15" customHeight="1" x14ac:dyDescent="0.2">
      <c r="J219" s="11"/>
    </row>
    <row r="220" spans="10:10" ht="15" customHeight="1" x14ac:dyDescent="0.2">
      <c r="J220" s="11"/>
    </row>
    <row r="221" spans="10:10" ht="15" customHeight="1" x14ac:dyDescent="0.2">
      <c r="J221" s="11"/>
    </row>
    <row r="222" spans="10:10" ht="15" customHeight="1" x14ac:dyDescent="0.2">
      <c r="J222" s="11"/>
    </row>
    <row r="223" spans="10:10" ht="15" customHeight="1" x14ac:dyDescent="0.2">
      <c r="J223" s="11"/>
    </row>
    <row r="224" spans="10:10" ht="15" customHeight="1" x14ac:dyDescent="0.2">
      <c r="J224" s="11"/>
    </row>
    <row r="225" spans="10:10" ht="15" customHeight="1" x14ac:dyDescent="0.2">
      <c r="J225" s="11"/>
    </row>
    <row r="226" spans="10:10" ht="15" customHeight="1" x14ac:dyDescent="0.2">
      <c r="J226" s="11"/>
    </row>
    <row r="227" spans="10:10" ht="15" customHeight="1" x14ac:dyDescent="0.2">
      <c r="J227" s="11"/>
    </row>
    <row r="228" spans="10:10" ht="15" customHeight="1" x14ac:dyDescent="0.2">
      <c r="J228" s="11"/>
    </row>
    <row r="229" spans="10:10" ht="15" customHeight="1" x14ac:dyDescent="0.2">
      <c r="J229" s="11"/>
    </row>
    <row r="230" spans="10:10" ht="15" customHeight="1" x14ac:dyDescent="0.2">
      <c r="J230" s="11"/>
    </row>
    <row r="231" spans="10:10" ht="15" customHeight="1" x14ac:dyDescent="0.2">
      <c r="J231" s="11"/>
    </row>
    <row r="232" spans="10:10" ht="15" customHeight="1" x14ac:dyDescent="0.2">
      <c r="J232" s="11"/>
    </row>
    <row r="233" spans="10:10" ht="15" customHeight="1" x14ac:dyDescent="0.2">
      <c r="J233" s="11"/>
    </row>
    <row r="234" spans="10:10" ht="15" customHeight="1" x14ac:dyDescent="0.2">
      <c r="J234" s="11"/>
    </row>
    <row r="235" spans="10:10" ht="15" customHeight="1" x14ac:dyDescent="0.2">
      <c r="J235" s="11"/>
    </row>
    <row r="236" spans="10:10" ht="15" customHeight="1" x14ac:dyDescent="0.2">
      <c r="J236" s="11"/>
    </row>
    <row r="237" spans="10:10" ht="15" customHeight="1" x14ac:dyDescent="0.2">
      <c r="J237" s="11"/>
    </row>
    <row r="238" spans="10:10" ht="15" customHeight="1" x14ac:dyDescent="0.2">
      <c r="J238" s="11"/>
    </row>
    <row r="239" spans="10:10" ht="15" customHeight="1" x14ac:dyDescent="0.2">
      <c r="J239" s="11"/>
    </row>
    <row r="240" spans="10:10" ht="15" customHeight="1" x14ac:dyDescent="0.2">
      <c r="J240" s="11"/>
    </row>
    <row r="241" spans="10:10" ht="15" customHeight="1" x14ac:dyDescent="0.2">
      <c r="J241" s="11"/>
    </row>
    <row r="242" spans="10:10" ht="15" customHeight="1" x14ac:dyDescent="0.2">
      <c r="J242" s="11"/>
    </row>
    <row r="243" spans="10:10" ht="15" customHeight="1" x14ac:dyDescent="0.2">
      <c r="J243" s="11"/>
    </row>
    <row r="244" spans="10:10" ht="15" customHeight="1" x14ac:dyDescent="0.2">
      <c r="J244" s="11"/>
    </row>
    <row r="245" spans="10:10" ht="15" customHeight="1" x14ac:dyDescent="0.2">
      <c r="J245" s="11"/>
    </row>
    <row r="246" spans="10:10" ht="15" customHeight="1" x14ac:dyDescent="0.2">
      <c r="J246" s="11"/>
    </row>
    <row r="247" spans="10:10" ht="15" customHeight="1" x14ac:dyDescent="0.2">
      <c r="J247" s="11"/>
    </row>
    <row r="248" spans="10:10" ht="15" customHeight="1" x14ac:dyDescent="0.2">
      <c r="J248" s="11"/>
    </row>
    <row r="249" spans="10:10" ht="15" customHeight="1" x14ac:dyDescent="0.2">
      <c r="J249" s="11"/>
    </row>
    <row r="250" spans="10:10" ht="15" customHeight="1" x14ac:dyDescent="0.2">
      <c r="J250" s="11"/>
    </row>
    <row r="251" spans="10:10" ht="15" customHeight="1" x14ac:dyDescent="0.2">
      <c r="J251" s="11"/>
    </row>
    <row r="252" spans="10:10" ht="15" customHeight="1" x14ac:dyDescent="0.2">
      <c r="J252" s="11"/>
    </row>
    <row r="253" spans="10:10" ht="15" customHeight="1" x14ac:dyDescent="0.2">
      <c r="J253" s="11"/>
    </row>
    <row r="254" spans="10:10" ht="15" customHeight="1" x14ac:dyDescent="0.2">
      <c r="J254" s="11"/>
    </row>
    <row r="255" spans="10:10" ht="15" customHeight="1" x14ac:dyDescent="0.2">
      <c r="J255" s="11"/>
    </row>
    <row r="256" spans="10:10" ht="15" customHeight="1" x14ac:dyDescent="0.2">
      <c r="J256" s="11"/>
    </row>
    <row r="257" spans="10:10" ht="15" customHeight="1" x14ac:dyDescent="0.2">
      <c r="J257" s="11"/>
    </row>
    <row r="258" spans="10:10" ht="15" customHeight="1" x14ac:dyDescent="0.2">
      <c r="J258" s="11"/>
    </row>
    <row r="259" spans="10:10" ht="15" customHeight="1" x14ac:dyDescent="0.2">
      <c r="J259" s="11"/>
    </row>
    <row r="260" spans="10:10" ht="15" customHeight="1" x14ac:dyDescent="0.2">
      <c r="J260" s="11"/>
    </row>
    <row r="261" spans="10:10" ht="15" customHeight="1" x14ac:dyDescent="0.2">
      <c r="J261" s="11"/>
    </row>
    <row r="262" spans="10:10" ht="15" customHeight="1" x14ac:dyDescent="0.2">
      <c r="J262" s="11"/>
    </row>
    <row r="263" spans="10:10" ht="15" customHeight="1" x14ac:dyDescent="0.2">
      <c r="J263" s="11"/>
    </row>
    <row r="264" spans="10:10" ht="15" customHeight="1" x14ac:dyDescent="0.2">
      <c r="J264" s="11"/>
    </row>
    <row r="265" spans="10:10" ht="15" customHeight="1" x14ac:dyDescent="0.2">
      <c r="J265" s="11"/>
    </row>
    <row r="266" spans="10:10" ht="15" customHeight="1" x14ac:dyDescent="0.2">
      <c r="J266" s="11"/>
    </row>
    <row r="267" spans="10:10" ht="15" customHeight="1" x14ac:dyDescent="0.2">
      <c r="J267" s="11"/>
    </row>
    <row r="268" spans="10:10" ht="15" customHeight="1" x14ac:dyDescent="0.2">
      <c r="J268" s="11"/>
    </row>
    <row r="269" spans="10:10" ht="15" customHeight="1" x14ac:dyDescent="0.2">
      <c r="J269" s="11"/>
    </row>
    <row r="270" spans="10:10" ht="15" customHeight="1" x14ac:dyDescent="0.2">
      <c r="J270" s="11"/>
    </row>
    <row r="271" spans="10:10" ht="15" customHeight="1" x14ac:dyDescent="0.2">
      <c r="J271" s="11"/>
    </row>
    <row r="272" spans="10:10" ht="15" customHeight="1" x14ac:dyDescent="0.2">
      <c r="J272" s="11"/>
    </row>
    <row r="273" spans="10:10" ht="15" customHeight="1" x14ac:dyDescent="0.2">
      <c r="J273" s="11"/>
    </row>
    <row r="274" spans="10:10" ht="15" customHeight="1" x14ac:dyDescent="0.2">
      <c r="J274" s="11"/>
    </row>
    <row r="275" spans="10:10" ht="15" customHeight="1" x14ac:dyDescent="0.2">
      <c r="J275" s="11"/>
    </row>
    <row r="276" spans="10:10" ht="15" customHeight="1" x14ac:dyDescent="0.2">
      <c r="J276" s="11"/>
    </row>
    <row r="277" spans="10:10" ht="15" customHeight="1" x14ac:dyDescent="0.2">
      <c r="J277" s="11"/>
    </row>
    <row r="278" spans="10:10" ht="15" customHeight="1" x14ac:dyDescent="0.2">
      <c r="J278" s="11"/>
    </row>
    <row r="279" spans="10:10" ht="15" customHeight="1" x14ac:dyDescent="0.2">
      <c r="J279" s="11"/>
    </row>
    <row r="280" spans="10:10" ht="15" customHeight="1" x14ac:dyDescent="0.2">
      <c r="J280" s="11"/>
    </row>
    <row r="281" spans="10:10" ht="15" customHeight="1" x14ac:dyDescent="0.2">
      <c r="J281" s="11"/>
    </row>
    <row r="282" spans="10:10" ht="15" customHeight="1" x14ac:dyDescent="0.2">
      <c r="J282" s="11"/>
    </row>
    <row r="283" spans="10:10" ht="15" customHeight="1" x14ac:dyDescent="0.2">
      <c r="J283" s="11"/>
    </row>
    <row r="284" spans="10:10" ht="15" customHeight="1" x14ac:dyDescent="0.2">
      <c r="J284" s="11"/>
    </row>
    <row r="285" spans="10:10" ht="15" customHeight="1" x14ac:dyDescent="0.2">
      <c r="J285" s="11"/>
    </row>
    <row r="286" spans="10:10" ht="15" customHeight="1" x14ac:dyDescent="0.2">
      <c r="J286" s="11"/>
    </row>
    <row r="287" spans="10:10" ht="15" customHeight="1" x14ac:dyDescent="0.2">
      <c r="J287" s="11"/>
    </row>
    <row r="288" spans="10:10" ht="15" customHeight="1" x14ac:dyDescent="0.2">
      <c r="J288" s="11"/>
    </row>
    <row r="289" spans="10:10" ht="15" customHeight="1" x14ac:dyDescent="0.2">
      <c r="J289" s="11"/>
    </row>
    <row r="290" spans="10:10" ht="15" customHeight="1" x14ac:dyDescent="0.2">
      <c r="J290" s="11"/>
    </row>
    <row r="291" spans="10:10" ht="15" customHeight="1" x14ac:dyDescent="0.2">
      <c r="J291" s="11"/>
    </row>
    <row r="292" spans="10:10" ht="15" customHeight="1" x14ac:dyDescent="0.2">
      <c r="J292" s="11"/>
    </row>
    <row r="293" spans="10:10" ht="15" customHeight="1" x14ac:dyDescent="0.2">
      <c r="J293" s="11"/>
    </row>
    <row r="294" spans="10:10" ht="15" customHeight="1" x14ac:dyDescent="0.2">
      <c r="J294" s="11"/>
    </row>
    <row r="295" spans="10:10" ht="15" customHeight="1" x14ac:dyDescent="0.2">
      <c r="J295" s="11"/>
    </row>
    <row r="296" spans="10:10" ht="15" customHeight="1" x14ac:dyDescent="0.2">
      <c r="J296" s="11"/>
    </row>
    <row r="297" spans="10:10" ht="15" customHeight="1" x14ac:dyDescent="0.2">
      <c r="J297" s="11"/>
    </row>
    <row r="298" spans="10:10" ht="15" customHeight="1" x14ac:dyDescent="0.2">
      <c r="J298" s="11"/>
    </row>
    <row r="299" spans="10:10" ht="15" customHeight="1" x14ac:dyDescent="0.2">
      <c r="J299" s="11"/>
    </row>
    <row r="300" spans="10:10" ht="15" customHeight="1" x14ac:dyDescent="0.2">
      <c r="J300" s="11"/>
    </row>
    <row r="301" spans="10:10" ht="15" customHeight="1" x14ac:dyDescent="0.2">
      <c r="J301" s="11"/>
    </row>
    <row r="302" spans="10:10" ht="15" customHeight="1" x14ac:dyDescent="0.2">
      <c r="J302" s="11"/>
    </row>
    <row r="303" spans="10:10" ht="15" customHeight="1" x14ac:dyDescent="0.2">
      <c r="J303" s="11"/>
    </row>
    <row r="304" spans="10:10" ht="15" customHeight="1" x14ac:dyDescent="0.2">
      <c r="J304" s="11"/>
    </row>
    <row r="305" spans="10:10" ht="15" customHeight="1" x14ac:dyDescent="0.2">
      <c r="J305" s="11"/>
    </row>
    <row r="306" spans="10:10" ht="15" customHeight="1" x14ac:dyDescent="0.2">
      <c r="J306" s="11"/>
    </row>
    <row r="307" spans="10:10" ht="15" customHeight="1" x14ac:dyDescent="0.2">
      <c r="J307" s="11"/>
    </row>
    <row r="308" spans="10:10" ht="15" customHeight="1" x14ac:dyDescent="0.2">
      <c r="J308" s="11"/>
    </row>
    <row r="309" spans="10:10" ht="15" customHeight="1" x14ac:dyDescent="0.2">
      <c r="J309" s="11"/>
    </row>
    <row r="310" spans="10:10" ht="15" customHeight="1" x14ac:dyDescent="0.2">
      <c r="J310" s="11"/>
    </row>
    <row r="311" spans="10:10" ht="15" customHeight="1" x14ac:dyDescent="0.2">
      <c r="J311" s="11"/>
    </row>
    <row r="312" spans="10:10" ht="15" customHeight="1" x14ac:dyDescent="0.2">
      <c r="J312" s="11"/>
    </row>
    <row r="313" spans="10:10" ht="15" customHeight="1" x14ac:dyDescent="0.2">
      <c r="J313" s="11"/>
    </row>
    <row r="314" spans="10:10" ht="15" customHeight="1" x14ac:dyDescent="0.2">
      <c r="J314" s="11"/>
    </row>
    <row r="315" spans="10:10" ht="15" customHeight="1" x14ac:dyDescent="0.2">
      <c r="J315" s="11"/>
    </row>
    <row r="316" spans="10:10" ht="15" customHeight="1" x14ac:dyDescent="0.2">
      <c r="J316" s="11"/>
    </row>
    <row r="317" spans="10:10" ht="15" customHeight="1" x14ac:dyDescent="0.2">
      <c r="J317" s="11"/>
    </row>
    <row r="318" spans="10:10" ht="15" customHeight="1" x14ac:dyDescent="0.2">
      <c r="J318" s="11"/>
    </row>
    <row r="319" spans="10:10" ht="15" customHeight="1" x14ac:dyDescent="0.2">
      <c r="J319" s="11"/>
    </row>
    <row r="320" spans="10:10" ht="15" customHeight="1" x14ac:dyDescent="0.2">
      <c r="J320" s="11"/>
    </row>
    <row r="321" spans="10:10" ht="15" customHeight="1" x14ac:dyDescent="0.2">
      <c r="J321" s="11"/>
    </row>
    <row r="322" spans="10:10" ht="15" customHeight="1" x14ac:dyDescent="0.2">
      <c r="J322" s="11"/>
    </row>
    <row r="323" spans="10:10" ht="15" customHeight="1" x14ac:dyDescent="0.2">
      <c r="J323" s="11"/>
    </row>
    <row r="324" spans="10:10" ht="15" customHeight="1" x14ac:dyDescent="0.2">
      <c r="J324" s="11"/>
    </row>
    <row r="325" spans="10:10" ht="15" customHeight="1" x14ac:dyDescent="0.2">
      <c r="J325" s="11"/>
    </row>
    <row r="326" spans="10:10" ht="15" customHeight="1" x14ac:dyDescent="0.2">
      <c r="J326" s="11"/>
    </row>
    <row r="327" spans="10:10" ht="15" customHeight="1" x14ac:dyDescent="0.2">
      <c r="J327" s="11"/>
    </row>
    <row r="328" spans="10:10" ht="15" customHeight="1" x14ac:dyDescent="0.2">
      <c r="J328" s="11"/>
    </row>
    <row r="329" spans="10:10" ht="15" customHeight="1" x14ac:dyDescent="0.2">
      <c r="J329" s="11"/>
    </row>
    <row r="330" spans="10:10" ht="15" customHeight="1" x14ac:dyDescent="0.2">
      <c r="J330" s="11"/>
    </row>
    <row r="331" spans="10:10" ht="15" customHeight="1" x14ac:dyDescent="0.2">
      <c r="J331" s="11"/>
    </row>
    <row r="332" spans="10:10" ht="15" customHeight="1" x14ac:dyDescent="0.2">
      <c r="J332" s="11"/>
    </row>
    <row r="333" spans="10:10" ht="15" customHeight="1" x14ac:dyDescent="0.2">
      <c r="J333" s="11"/>
    </row>
    <row r="334" spans="10:10" ht="15" customHeight="1" x14ac:dyDescent="0.2">
      <c r="J334" s="11"/>
    </row>
    <row r="335" spans="10:10" ht="15" customHeight="1" x14ac:dyDescent="0.2">
      <c r="J335" s="11"/>
    </row>
    <row r="336" spans="10:10" ht="15" customHeight="1" x14ac:dyDescent="0.2">
      <c r="J336" s="11"/>
    </row>
    <row r="337" spans="10:10" ht="15" customHeight="1" x14ac:dyDescent="0.2">
      <c r="J337" s="11"/>
    </row>
    <row r="338" spans="10:10" ht="15" customHeight="1" x14ac:dyDescent="0.2">
      <c r="J338" s="11"/>
    </row>
    <row r="339" spans="10:10" ht="15" customHeight="1" x14ac:dyDescent="0.2">
      <c r="J339" s="11"/>
    </row>
    <row r="340" spans="10:10" ht="15" customHeight="1" x14ac:dyDescent="0.2">
      <c r="J340" s="11"/>
    </row>
    <row r="341" spans="10:10" ht="15" customHeight="1" x14ac:dyDescent="0.2">
      <c r="J341" s="11"/>
    </row>
    <row r="342" spans="10:10" ht="15" customHeight="1" x14ac:dyDescent="0.2">
      <c r="J342" s="11"/>
    </row>
    <row r="343" spans="10:10" ht="15" customHeight="1" x14ac:dyDescent="0.2">
      <c r="J343" s="11"/>
    </row>
    <row r="344" spans="10:10" ht="15" customHeight="1" x14ac:dyDescent="0.2">
      <c r="J344" s="11"/>
    </row>
    <row r="345" spans="10:10" ht="15" customHeight="1" x14ac:dyDescent="0.2">
      <c r="J345" s="11"/>
    </row>
    <row r="346" spans="10:10" ht="15" customHeight="1" x14ac:dyDescent="0.2">
      <c r="J346" s="11"/>
    </row>
    <row r="347" spans="10:10" ht="15" customHeight="1" x14ac:dyDescent="0.2">
      <c r="J347" s="11"/>
    </row>
    <row r="348" spans="10:10" ht="15" customHeight="1" x14ac:dyDescent="0.2">
      <c r="J348" s="11"/>
    </row>
    <row r="349" spans="10:10" ht="15" customHeight="1" x14ac:dyDescent="0.2">
      <c r="J349" s="11"/>
    </row>
    <row r="350" spans="10:10" ht="15" customHeight="1" x14ac:dyDescent="0.2">
      <c r="J350" s="11"/>
    </row>
    <row r="351" spans="10:10" ht="15" customHeight="1" x14ac:dyDescent="0.2">
      <c r="J351" s="11"/>
    </row>
    <row r="352" spans="10:10" ht="15" customHeight="1" x14ac:dyDescent="0.2">
      <c r="J352" s="11"/>
    </row>
    <row r="353" spans="10:10" ht="15" customHeight="1" x14ac:dyDescent="0.2">
      <c r="J353" s="11"/>
    </row>
    <row r="354" spans="10:10" ht="15" customHeight="1" x14ac:dyDescent="0.2">
      <c r="J354" s="11"/>
    </row>
    <row r="355" spans="10:10" ht="15" customHeight="1" x14ac:dyDescent="0.2">
      <c r="J355" s="11"/>
    </row>
    <row r="356" spans="10:10" ht="15" customHeight="1" x14ac:dyDescent="0.2">
      <c r="J356" s="11"/>
    </row>
    <row r="357" spans="10:10" ht="15" customHeight="1" x14ac:dyDescent="0.2">
      <c r="J357" s="11"/>
    </row>
    <row r="358" spans="10:10" ht="15" customHeight="1" x14ac:dyDescent="0.2">
      <c r="J358" s="11"/>
    </row>
    <row r="359" spans="10:10" ht="15" customHeight="1" x14ac:dyDescent="0.2">
      <c r="J359" s="11"/>
    </row>
    <row r="360" spans="10:10" ht="15" customHeight="1" x14ac:dyDescent="0.2">
      <c r="J360" s="11"/>
    </row>
    <row r="361" spans="10:10" ht="15" customHeight="1" x14ac:dyDescent="0.2">
      <c r="J361" s="11"/>
    </row>
    <row r="362" spans="10:10" ht="15" customHeight="1" x14ac:dyDescent="0.2">
      <c r="J362" s="11"/>
    </row>
    <row r="363" spans="10:10" ht="15" customHeight="1" x14ac:dyDescent="0.2">
      <c r="J363" s="11"/>
    </row>
    <row r="364" spans="10:10" ht="15" customHeight="1" x14ac:dyDescent="0.2">
      <c r="J364" s="11"/>
    </row>
    <row r="365" spans="10:10" ht="15" customHeight="1" x14ac:dyDescent="0.2">
      <c r="J365" s="11"/>
    </row>
    <row r="366" spans="10:10" ht="15" customHeight="1" x14ac:dyDescent="0.2">
      <c r="J366" s="11"/>
    </row>
    <row r="367" spans="10:10" ht="15" customHeight="1" x14ac:dyDescent="0.2">
      <c r="J367" s="11"/>
    </row>
    <row r="368" spans="10:10" ht="15" customHeight="1" x14ac:dyDescent="0.2">
      <c r="J368" s="11"/>
    </row>
    <row r="369" spans="10:10" ht="15" customHeight="1" x14ac:dyDescent="0.2">
      <c r="J369" s="11"/>
    </row>
    <row r="370" spans="10:10" ht="15" customHeight="1" x14ac:dyDescent="0.2">
      <c r="J370" s="11"/>
    </row>
    <row r="371" spans="10:10" ht="15" customHeight="1" x14ac:dyDescent="0.2">
      <c r="J371" s="11"/>
    </row>
    <row r="372" spans="10:10" ht="15" customHeight="1" x14ac:dyDescent="0.2">
      <c r="J372" s="11"/>
    </row>
    <row r="373" spans="10:10" ht="15" customHeight="1" x14ac:dyDescent="0.2">
      <c r="J373" s="11"/>
    </row>
    <row r="374" spans="10:10" ht="15" customHeight="1" x14ac:dyDescent="0.2">
      <c r="J374" s="11"/>
    </row>
    <row r="375" spans="10:10" ht="15" customHeight="1" x14ac:dyDescent="0.2">
      <c r="J375" s="11"/>
    </row>
    <row r="376" spans="10:10" ht="15" customHeight="1" x14ac:dyDescent="0.2">
      <c r="J376" s="11"/>
    </row>
    <row r="377" spans="10:10" ht="15" customHeight="1" x14ac:dyDescent="0.2">
      <c r="J377" s="11"/>
    </row>
    <row r="378" spans="10:10" ht="15" customHeight="1" x14ac:dyDescent="0.2">
      <c r="J378" s="11"/>
    </row>
    <row r="379" spans="10:10" ht="15" customHeight="1" x14ac:dyDescent="0.2">
      <c r="J379" s="11"/>
    </row>
    <row r="380" spans="10:10" ht="15" customHeight="1" x14ac:dyDescent="0.2">
      <c r="J380" s="11"/>
    </row>
    <row r="381" spans="10:10" ht="15" customHeight="1" x14ac:dyDescent="0.2">
      <c r="J381" s="11"/>
    </row>
    <row r="382" spans="10:10" ht="15" customHeight="1" x14ac:dyDescent="0.2">
      <c r="J382" s="11"/>
    </row>
    <row r="383" spans="10:10" ht="15" customHeight="1" x14ac:dyDescent="0.2">
      <c r="J383" s="11"/>
    </row>
    <row r="384" spans="10:10" ht="15" customHeight="1" x14ac:dyDescent="0.2">
      <c r="J384" s="11"/>
    </row>
    <row r="385" spans="10:10" ht="15" customHeight="1" x14ac:dyDescent="0.2">
      <c r="J385" s="11"/>
    </row>
    <row r="386" spans="10:10" ht="15" customHeight="1" x14ac:dyDescent="0.2">
      <c r="J386" s="11"/>
    </row>
    <row r="387" spans="10:10" ht="15" customHeight="1" x14ac:dyDescent="0.2">
      <c r="J387" s="11"/>
    </row>
    <row r="388" spans="10:10" ht="15" customHeight="1" x14ac:dyDescent="0.2">
      <c r="J388" s="11"/>
    </row>
    <row r="389" spans="10:10" ht="15" customHeight="1" x14ac:dyDescent="0.2">
      <c r="J389" s="11"/>
    </row>
    <row r="390" spans="10:10" ht="15" customHeight="1" x14ac:dyDescent="0.2">
      <c r="J390" s="11"/>
    </row>
    <row r="391" spans="10:10" ht="15" customHeight="1" x14ac:dyDescent="0.2">
      <c r="J391" s="11"/>
    </row>
    <row r="392" spans="10:10" ht="15" customHeight="1" x14ac:dyDescent="0.2">
      <c r="J392" s="11"/>
    </row>
    <row r="393" spans="10:10" ht="15" customHeight="1" x14ac:dyDescent="0.2">
      <c r="J393" s="11"/>
    </row>
    <row r="394" spans="10:10" ht="15" customHeight="1" x14ac:dyDescent="0.2">
      <c r="J394" s="11"/>
    </row>
    <row r="395" spans="10:10" ht="15" customHeight="1" x14ac:dyDescent="0.2">
      <c r="J395" s="11"/>
    </row>
    <row r="396" spans="10:10" ht="15" customHeight="1" x14ac:dyDescent="0.2">
      <c r="J396" s="11"/>
    </row>
    <row r="397" spans="10:10" ht="15" customHeight="1" x14ac:dyDescent="0.2">
      <c r="J397" s="11"/>
    </row>
    <row r="398" spans="10:10" ht="15" customHeight="1" x14ac:dyDescent="0.2">
      <c r="J398" s="11"/>
    </row>
    <row r="399" spans="10:10" ht="15" customHeight="1" x14ac:dyDescent="0.2">
      <c r="J399" s="11"/>
    </row>
    <row r="400" spans="10:10" ht="15" customHeight="1" x14ac:dyDescent="0.2">
      <c r="J400" s="11"/>
    </row>
    <row r="401" spans="10:10" ht="15" customHeight="1" x14ac:dyDescent="0.2">
      <c r="J401" s="11"/>
    </row>
    <row r="402" spans="10:10" ht="15" customHeight="1" x14ac:dyDescent="0.2">
      <c r="J402" s="11"/>
    </row>
    <row r="403" spans="10:10" ht="15" customHeight="1" x14ac:dyDescent="0.2">
      <c r="J403" s="11"/>
    </row>
    <row r="404" spans="10:10" ht="15" customHeight="1" x14ac:dyDescent="0.2">
      <c r="J404" s="11"/>
    </row>
    <row r="405" spans="10:10" ht="15" customHeight="1" x14ac:dyDescent="0.2">
      <c r="J405" s="11"/>
    </row>
    <row r="406" spans="10:10" ht="15" customHeight="1" x14ac:dyDescent="0.2">
      <c r="J406" s="11"/>
    </row>
    <row r="407" spans="10:10" ht="15" customHeight="1" x14ac:dyDescent="0.2">
      <c r="J407" s="11"/>
    </row>
    <row r="408" spans="10:10" ht="15" customHeight="1" x14ac:dyDescent="0.2">
      <c r="J408" s="11"/>
    </row>
    <row r="409" spans="10:10" ht="15" customHeight="1" x14ac:dyDescent="0.2">
      <c r="J409" s="11"/>
    </row>
    <row r="410" spans="10:10" ht="15" customHeight="1" x14ac:dyDescent="0.2">
      <c r="J410" s="11"/>
    </row>
    <row r="411" spans="10:10" ht="15" customHeight="1" x14ac:dyDescent="0.2">
      <c r="J411" s="11"/>
    </row>
    <row r="412" spans="10:10" ht="15" customHeight="1" x14ac:dyDescent="0.2">
      <c r="J412" s="11"/>
    </row>
    <row r="413" spans="10:10" ht="15" customHeight="1" x14ac:dyDescent="0.2">
      <c r="J413" s="11"/>
    </row>
    <row r="414" spans="10:10" ht="15" customHeight="1" x14ac:dyDescent="0.2">
      <c r="J414" s="11"/>
    </row>
    <row r="415" spans="10:10" ht="15" customHeight="1" x14ac:dyDescent="0.2">
      <c r="J415" s="11"/>
    </row>
    <row r="416" spans="10:10" ht="15" customHeight="1" x14ac:dyDescent="0.2">
      <c r="J416" s="11"/>
    </row>
    <row r="417" spans="10:10" ht="15" customHeight="1" x14ac:dyDescent="0.2">
      <c r="J417" s="11"/>
    </row>
    <row r="418" spans="10:10" ht="15" customHeight="1" x14ac:dyDescent="0.2">
      <c r="J418" s="11"/>
    </row>
    <row r="419" spans="10:10" ht="15" customHeight="1" x14ac:dyDescent="0.2">
      <c r="J419" s="11"/>
    </row>
    <row r="420" spans="10:10" ht="15" customHeight="1" x14ac:dyDescent="0.2">
      <c r="J420" s="11"/>
    </row>
    <row r="421" spans="10:10" ht="15" customHeight="1" x14ac:dyDescent="0.2">
      <c r="J421" s="11"/>
    </row>
    <row r="422" spans="10:10" ht="15" customHeight="1" x14ac:dyDescent="0.2">
      <c r="J422" s="11"/>
    </row>
    <row r="423" spans="10:10" ht="15" customHeight="1" x14ac:dyDescent="0.2">
      <c r="J423" s="11"/>
    </row>
    <row r="424" spans="10:10" ht="15" customHeight="1" x14ac:dyDescent="0.2">
      <c r="J424" s="11"/>
    </row>
    <row r="425" spans="10:10" ht="15" customHeight="1" x14ac:dyDescent="0.2">
      <c r="J425" s="11"/>
    </row>
    <row r="426" spans="10:10" ht="15" customHeight="1" x14ac:dyDescent="0.2">
      <c r="J426" s="11"/>
    </row>
    <row r="427" spans="10:10" ht="15" customHeight="1" x14ac:dyDescent="0.2">
      <c r="J427" s="11"/>
    </row>
    <row r="428" spans="10:10" ht="15" customHeight="1" x14ac:dyDescent="0.2">
      <c r="J428" s="11"/>
    </row>
    <row r="429" spans="10:10" ht="15" customHeight="1" x14ac:dyDescent="0.2">
      <c r="J429" s="11"/>
    </row>
    <row r="430" spans="10:10" ht="15" customHeight="1" x14ac:dyDescent="0.2">
      <c r="J430" s="11"/>
    </row>
    <row r="431" spans="10:10" ht="15" customHeight="1" x14ac:dyDescent="0.2">
      <c r="J431" s="11"/>
    </row>
    <row r="432" spans="10:10" ht="15" customHeight="1" x14ac:dyDescent="0.2">
      <c r="J432" s="11"/>
    </row>
    <row r="433" spans="10:10" ht="15" customHeight="1" x14ac:dyDescent="0.2">
      <c r="J433" s="11"/>
    </row>
    <row r="434" spans="10:10" ht="15" customHeight="1" x14ac:dyDescent="0.2">
      <c r="J434" s="11"/>
    </row>
    <row r="435" spans="10:10" ht="15" customHeight="1" x14ac:dyDescent="0.2">
      <c r="J435" s="11"/>
    </row>
    <row r="436" spans="10:10" ht="15" customHeight="1" x14ac:dyDescent="0.2">
      <c r="J436" s="11"/>
    </row>
    <row r="437" spans="10:10" ht="15" customHeight="1" x14ac:dyDescent="0.2">
      <c r="J437" s="11"/>
    </row>
    <row r="438" spans="10:10" ht="15" customHeight="1" x14ac:dyDescent="0.2">
      <c r="J438" s="11"/>
    </row>
    <row r="439" spans="10:10" ht="15" customHeight="1" x14ac:dyDescent="0.2">
      <c r="J439" s="11"/>
    </row>
    <row r="440" spans="10:10" ht="15" customHeight="1" x14ac:dyDescent="0.2">
      <c r="J440" s="11"/>
    </row>
    <row r="441" spans="10:10" ht="15" customHeight="1" x14ac:dyDescent="0.2">
      <c r="J441" s="11"/>
    </row>
    <row r="442" spans="10:10" ht="15" customHeight="1" x14ac:dyDescent="0.2">
      <c r="J442" s="11"/>
    </row>
    <row r="443" spans="10:10" ht="15" customHeight="1" x14ac:dyDescent="0.2">
      <c r="J443" s="11"/>
    </row>
    <row r="444" spans="10:10" ht="15" customHeight="1" x14ac:dyDescent="0.2">
      <c r="J444" s="11"/>
    </row>
    <row r="445" spans="10:10" ht="15" customHeight="1" x14ac:dyDescent="0.2">
      <c r="J445" s="11"/>
    </row>
    <row r="446" spans="10:10" ht="15" customHeight="1" x14ac:dyDescent="0.2">
      <c r="J446" s="11"/>
    </row>
    <row r="447" spans="10:10" ht="15" customHeight="1" x14ac:dyDescent="0.2">
      <c r="J447" s="11"/>
    </row>
    <row r="448" spans="10:10" ht="15" customHeight="1" x14ac:dyDescent="0.2">
      <c r="J448" s="11"/>
    </row>
    <row r="449" spans="10:10" ht="15" customHeight="1" x14ac:dyDescent="0.2">
      <c r="J449" s="11"/>
    </row>
    <row r="450" spans="10:10" ht="15" customHeight="1" x14ac:dyDescent="0.2">
      <c r="J450" s="11"/>
    </row>
    <row r="451" spans="10:10" ht="15" customHeight="1" x14ac:dyDescent="0.2">
      <c r="J451" s="11"/>
    </row>
    <row r="452" spans="10:10" ht="15" customHeight="1" x14ac:dyDescent="0.2">
      <c r="J452" s="11"/>
    </row>
    <row r="453" spans="10:10" ht="15" customHeight="1" x14ac:dyDescent="0.2">
      <c r="J453" s="11"/>
    </row>
    <row r="454" spans="10:10" ht="15" customHeight="1" x14ac:dyDescent="0.2">
      <c r="J454" s="11"/>
    </row>
    <row r="455" spans="10:10" ht="15" customHeight="1" x14ac:dyDescent="0.2">
      <c r="J455" s="11"/>
    </row>
    <row r="456" spans="10:10" ht="15" customHeight="1" x14ac:dyDescent="0.2">
      <c r="J456" s="11"/>
    </row>
    <row r="457" spans="10:10" ht="15" customHeight="1" x14ac:dyDescent="0.2">
      <c r="J457" s="11"/>
    </row>
    <row r="458" spans="10:10" ht="15" customHeight="1" x14ac:dyDescent="0.2">
      <c r="J458" s="11"/>
    </row>
    <row r="459" spans="10:10" ht="15" customHeight="1" x14ac:dyDescent="0.2">
      <c r="J459" s="11"/>
    </row>
    <row r="460" spans="10:10" ht="15" customHeight="1" x14ac:dyDescent="0.2">
      <c r="J460" s="11"/>
    </row>
    <row r="461" spans="10:10" ht="15" customHeight="1" x14ac:dyDescent="0.2">
      <c r="J461" s="11"/>
    </row>
    <row r="462" spans="10:10" ht="15" customHeight="1" x14ac:dyDescent="0.2">
      <c r="J462" s="11"/>
    </row>
    <row r="463" spans="10:10" ht="15" customHeight="1" x14ac:dyDescent="0.2">
      <c r="J463" s="11"/>
    </row>
    <row r="464" spans="10:10" ht="15" customHeight="1" x14ac:dyDescent="0.2">
      <c r="J464" s="11"/>
    </row>
    <row r="465" spans="10:10" ht="15" customHeight="1" x14ac:dyDescent="0.2">
      <c r="J465" s="11"/>
    </row>
    <row r="466" spans="10:10" ht="15" customHeight="1" x14ac:dyDescent="0.2">
      <c r="J466" s="11"/>
    </row>
    <row r="467" spans="10:10" ht="15" customHeight="1" x14ac:dyDescent="0.2">
      <c r="J467" s="11"/>
    </row>
    <row r="468" spans="10:10" ht="15" customHeight="1" x14ac:dyDescent="0.2">
      <c r="J468" s="11"/>
    </row>
    <row r="469" spans="10:10" ht="15" customHeight="1" x14ac:dyDescent="0.2">
      <c r="J469" s="11"/>
    </row>
    <row r="470" spans="10:10" ht="15" customHeight="1" x14ac:dyDescent="0.2">
      <c r="J470" s="11"/>
    </row>
    <row r="471" spans="10:10" ht="15" customHeight="1" x14ac:dyDescent="0.2">
      <c r="J471" s="11"/>
    </row>
    <row r="472" spans="10:10" ht="15" customHeight="1" x14ac:dyDescent="0.2">
      <c r="J472" s="11"/>
    </row>
    <row r="473" spans="10:10" ht="15" customHeight="1" x14ac:dyDescent="0.2">
      <c r="J473" s="11"/>
    </row>
    <row r="474" spans="10:10" ht="15" customHeight="1" x14ac:dyDescent="0.2">
      <c r="J474" s="11"/>
    </row>
    <row r="475" spans="10:10" ht="15" customHeight="1" x14ac:dyDescent="0.2">
      <c r="J475" s="11"/>
    </row>
    <row r="476" spans="10:10" ht="15" customHeight="1" x14ac:dyDescent="0.2">
      <c r="J476" s="11"/>
    </row>
    <row r="477" spans="10:10" ht="15" customHeight="1" x14ac:dyDescent="0.2">
      <c r="J477" s="11"/>
    </row>
    <row r="478" spans="10:10" ht="15" customHeight="1" x14ac:dyDescent="0.2">
      <c r="J478" s="11"/>
    </row>
    <row r="479" spans="10:10" ht="15" customHeight="1" x14ac:dyDescent="0.2">
      <c r="J479" s="11"/>
    </row>
    <row r="480" spans="10:10" ht="15" customHeight="1" x14ac:dyDescent="0.2">
      <c r="J480" s="11"/>
    </row>
    <row r="481" spans="10:10" ht="15" customHeight="1" x14ac:dyDescent="0.2">
      <c r="J481" s="11"/>
    </row>
    <row r="482" spans="10:10" ht="15" customHeight="1" x14ac:dyDescent="0.2">
      <c r="J482" s="11"/>
    </row>
    <row r="483" spans="10:10" ht="15" customHeight="1" x14ac:dyDescent="0.2">
      <c r="J483" s="11"/>
    </row>
    <row r="484" spans="10:10" ht="15" customHeight="1" x14ac:dyDescent="0.2">
      <c r="J484" s="11"/>
    </row>
    <row r="485" spans="10:10" ht="15" customHeight="1" x14ac:dyDescent="0.2">
      <c r="J485" s="11"/>
    </row>
    <row r="486" spans="10:10" ht="15" customHeight="1" x14ac:dyDescent="0.2">
      <c r="J486" s="11"/>
    </row>
    <row r="487" spans="10:10" ht="15" customHeight="1" x14ac:dyDescent="0.2">
      <c r="J487" s="11"/>
    </row>
    <row r="488" spans="10:10" ht="15" customHeight="1" x14ac:dyDescent="0.2">
      <c r="J488" s="11"/>
    </row>
    <row r="489" spans="10:10" ht="15" customHeight="1" x14ac:dyDescent="0.2">
      <c r="J489" s="11"/>
    </row>
    <row r="490" spans="10:10" ht="15" customHeight="1" x14ac:dyDescent="0.2">
      <c r="J490" s="11"/>
    </row>
    <row r="491" spans="10:10" ht="15" customHeight="1" x14ac:dyDescent="0.2">
      <c r="J491" s="11"/>
    </row>
    <row r="492" spans="10:10" ht="15" customHeight="1" x14ac:dyDescent="0.2">
      <c r="J492" s="11"/>
    </row>
    <row r="493" spans="10:10" ht="15" customHeight="1" x14ac:dyDescent="0.2">
      <c r="J493" s="11"/>
    </row>
    <row r="494" spans="10:10" ht="15" customHeight="1" x14ac:dyDescent="0.2">
      <c r="J494" s="11"/>
    </row>
    <row r="495" spans="10:10" ht="15" customHeight="1" x14ac:dyDescent="0.2">
      <c r="J495" s="11"/>
    </row>
    <row r="496" spans="10:10" ht="15" customHeight="1" x14ac:dyDescent="0.2">
      <c r="J496" s="11"/>
    </row>
    <row r="497" spans="10:10" ht="15" customHeight="1" x14ac:dyDescent="0.2">
      <c r="J497" s="11"/>
    </row>
    <row r="498" spans="10:10" ht="15" customHeight="1" x14ac:dyDescent="0.2">
      <c r="J498" s="11"/>
    </row>
    <row r="499" spans="10:10" ht="15" customHeight="1" x14ac:dyDescent="0.2">
      <c r="J499" s="11"/>
    </row>
    <row r="500" spans="10:10" ht="15" customHeight="1" x14ac:dyDescent="0.2">
      <c r="J500" s="11"/>
    </row>
    <row r="501" spans="10:10" ht="15" customHeight="1" x14ac:dyDescent="0.2">
      <c r="J501" s="11"/>
    </row>
    <row r="502" spans="10:10" ht="15" customHeight="1" x14ac:dyDescent="0.2">
      <c r="J502" s="11"/>
    </row>
    <row r="503" spans="10:10" ht="15" customHeight="1" x14ac:dyDescent="0.2">
      <c r="J503" s="11"/>
    </row>
    <row r="504" spans="10:10" ht="15" customHeight="1" x14ac:dyDescent="0.2">
      <c r="J504" s="11"/>
    </row>
    <row r="505" spans="10:10" ht="15" customHeight="1" x14ac:dyDescent="0.2">
      <c r="J505" s="11"/>
    </row>
    <row r="506" spans="10:10" ht="15" customHeight="1" x14ac:dyDescent="0.2">
      <c r="J506" s="11"/>
    </row>
    <row r="507" spans="10:10" ht="15" customHeight="1" x14ac:dyDescent="0.2">
      <c r="J507" s="11"/>
    </row>
    <row r="508" spans="10:10" ht="15" customHeight="1" x14ac:dyDescent="0.2">
      <c r="J508" s="11"/>
    </row>
    <row r="509" spans="10:10" ht="15" customHeight="1" x14ac:dyDescent="0.2">
      <c r="J509" s="11"/>
    </row>
    <row r="510" spans="10:10" ht="15" customHeight="1" x14ac:dyDescent="0.2">
      <c r="J510" s="11"/>
    </row>
    <row r="511" spans="10:10" ht="15" customHeight="1" x14ac:dyDescent="0.2">
      <c r="J511" s="11"/>
    </row>
    <row r="512" spans="10:10" ht="15" customHeight="1" x14ac:dyDescent="0.2">
      <c r="J512" s="11"/>
    </row>
    <row r="513" spans="10:10" ht="15" customHeight="1" x14ac:dyDescent="0.2">
      <c r="J513" s="11"/>
    </row>
    <row r="514" spans="10:10" ht="15" customHeight="1" x14ac:dyDescent="0.2">
      <c r="J514" s="11"/>
    </row>
    <row r="515" spans="10:10" ht="15" customHeight="1" x14ac:dyDescent="0.2">
      <c r="J515" s="11"/>
    </row>
    <row r="516" spans="10:10" ht="15" customHeight="1" x14ac:dyDescent="0.2">
      <c r="J516" s="11"/>
    </row>
    <row r="517" spans="10:10" ht="15" customHeight="1" x14ac:dyDescent="0.2">
      <c r="J517" s="11"/>
    </row>
    <row r="518" spans="10:10" ht="15" customHeight="1" x14ac:dyDescent="0.2">
      <c r="J518" s="11"/>
    </row>
    <row r="519" spans="10:10" ht="15" customHeight="1" x14ac:dyDescent="0.2">
      <c r="J519" s="11"/>
    </row>
    <row r="520" spans="10:10" ht="15" customHeight="1" x14ac:dyDescent="0.2">
      <c r="J520" s="11"/>
    </row>
    <row r="521" spans="10:10" ht="15" customHeight="1" x14ac:dyDescent="0.2">
      <c r="J521" s="11"/>
    </row>
    <row r="522" spans="10:10" ht="15" customHeight="1" x14ac:dyDescent="0.2">
      <c r="J522" s="11"/>
    </row>
    <row r="523" spans="10:10" ht="15" customHeight="1" x14ac:dyDescent="0.2">
      <c r="J523" s="11"/>
    </row>
    <row r="524" spans="10:10" ht="15" customHeight="1" x14ac:dyDescent="0.2">
      <c r="J524" s="11"/>
    </row>
    <row r="525" spans="10:10" ht="15" customHeight="1" x14ac:dyDescent="0.2">
      <c r="J525" s="11"/>
    </row>
    <row r="526" spans="10:10" ht="15" customHeight="1" x14ac:dyDescent="0.2">
      <c r="J526" s="11"/>
    </row>
    <row r="527" spans="10:10" ht="15" customHeight="1" x14ac:dyDescent="0.2">
      <c r="J527" s="11"/>
    </row>
    <row r="528" spans="10:10" ht="15" customHeight="1" x14ac:dyDescent="0.2">
      <c r="J528" s="11"/>
    </row>
    <row r="529" spans="10:10" ht="15" customHeight="1" x14ac:dyDescent="0.2">
      <c r="J529" s="11"/>
    </row>
    <row r="530" spans="10:10" ht="15" customHeight="1" x14ac:dyDescent="0.2">
      <c r="J530" s="11"/>
    </row>
    <row r="531" spans="10:10" ht="15" customHeight="1" x14ac:dyDescent="0.2">
      <c r="J531" s="11"/>
    </row>
    <row r="532" spans="10:10" ht="15" customHeight="1" x14ac:dyDescent="0.2">
      <c r="J532" s="11"/>
    </row>
    <row r="533" spans="10:10" ht="15" customHeight="1" x14ac:dyDescent="0.2">
      <c r="J533" s="11"/>
    </row>
    <row r="534" spans="10:10" ht="15" customHeight="1" x14ac:dyDescent="0.2">
      <c r="J534" s="11"/>
    </row>
    <row r="535" spans="10:10" ht="15" customHeight="1" x14ac:dyDescent="0.2">
      <c r="J535" s="11"/>
    </row>
    <row r="536" spans="10:10" ht="15" customHeight="1" x14ac:dyDescent="0.2">
      <c r="J536" s="11"/>
    </row>
    <row r="537" spans="10:10" ht="15" customHeight="1" x14ac:dyDescent="0.2">
      <c r="J537" s="11"/>
    </row>
    <row r="538" spans="10:10" ht="15" customHeight="1" x14ac:dyDescent="0.2">
      <c r="J538" s="11"/>
    </row>
    <row r="539" spans="10:10" ht="15" customHeight="1" x14ac:dyDescent="0.2">
      <c r="J539" s="11"/>
    </row>
    <row r="540" spans="10:10" ht="15" customHeight="1" x14ac:dyDescent="0.2">
      <c r="J540" s="11"/>
    </row>
    <row r="541" spans="10:10" ht="15" customHeight="1" x14ac:dyDescent="0.2">
      <c r="J541" s="11"/>
    </row>
    <row r="542" spans="10:10" ht="15" customHeight="1" x14ac:dyDescent="0.2">
      <c r="J542" s="11"/>
    </row>
    <row r="543" spans="10:10" ht="15" customHeight="1" x14ac:dyDescent="0.2">
      <c r="J543" s="11"/>
    </row>
    <row r="544" spans="10:10" ht="15" customHeight="1" x14ac:dyDescent="0.2">
      <c r="J544" s="11"/>
    </row>
    <row r="545" spans="10:10" ht="15" customHeight="1" x14ac:dyDescent="0.2">
      <c r="J545" s="11"/>
    </row>
    <row r="546" spans="10:10" ht="15" customHeight="1" x14ac:dyDescent="0.2">
      <c r="J546" s="11"/>
    </row>
    <row r="547" spans="10:10" ht="15" customHeight="1" x14ac:dyDescent="0.2">
      <c r="J547" s="11"/>
    </row>
    <row r="548" spans="10:10" ht="15" customHeight="1" x14ac:dyDescent="0.2">
      <c r="J548" s="11"/>
    </row>
    <row r="549" spans="10:10" ht="15" customHeight="1" x14ac:dyDescent="0.2">
      <c r="J549" s="11"/>
    </row>
    <row r="550" spans="10:10" ht="15" customHeight="1" x14ac:dyDescent="0.2">
      <c r="J550" s="11"/>
    </row>
    <row r="551" spans="10:10" ht="15" customHeight="1" x14ac:dyDescent="0.2">
      <c r="J551" s="11"/>
    </row>
    <row r="552" spans="10:10" ht="15" customHeight="1" x14ac:dyDescent="0.2">
      <c r="J552" s="11"/>
    </row>
    <row r="553" spans="10:10" ht="15" customHeight="1" x14ac:dyDescent="0.2">
      <c r="J553" s="11"/>
    </row>
    <row r="554" spans="10:10" ht="15" customHeight="1" x14ac:dyDescent="0.2">
      <c r="J554" s="11"/>
    </row>
    <row r="555" spans="10:10" ht="15" customHeight="1" x14ac:dyDescent="0.2">
      <c r="J555" s="11"/>
    </row>
    <row r="556" spans="10:10" ht="15" customHeight="1" x14ac:dyDescent="0.2">
      <c r="J556" s="11"/>
    </row>
    <row r="557" spans="10:10" ht="15" customHeight="1" x14ac:dyDescent="0.2">
      <c r="J557" s="11"/>
    </row>
    <row r="558" spans="10:10" ht="15" customHeight="1" x14ac:dyDescent="0.2">
      <c r="J558" s="11"/>
    </row>
    <row r="559" spans="10:10" ht="15" customHeight="1" x14ac:dyDescent="0.2">
      <c r="J559" s="11"/>
    </row>
    <row r="560" spans="10:10" ht="15" customHeight="1" x14ac:dyDescent="0.2">
      <c r="J560" s="11"/>
    </row>
    <row r="561" spans="10:10" ht="15" customHeight="1" x14ac:dyDescent="0.2">
      <c r="J561" s="11"/>
    </row>
    <row r="562" spans="10:10" ht="15" customHeight="1" x14ac:dyDescent="0.2">
      <c r="J562" s="11"/>
    </row>
    <row r="563" spans="10:10" ht="15" customHeight="1" x14ac:dyDescent="0.2">
      <c r="J563" s="11"/>
    </row>
    <row r="564" spans="10:10" ht="15" customHeight="1" x14ac:dyDescent="0.2">
      <c r="J564" s="11"/>
    </row>
    <row r="565" spans="10:10" ht="15" customHeight="1" x14ac:dyDescent="0.2">
      <c r="J565" s="11"/>
    </row>
    <row r="566" spans="10:10" ht="15" customHeight="1" x14ac:dyDescent="0.2">
      <c r="J566" s="11"/>
    </row>
    <row r="567" spans="10:10" ht="15" customHeight="1" x14ac:dyDescent="0.2">
      <c r="J567" s="11"/>
    </row>
    <row r="568" spans="10:10" ht="15" customHeight="1" x14ac:dyDescent="0.2">
      <c r="J568" s="11"/>
    </row>
    <row r="569" spans="10:10" ht="15" customHeight="1" x14ac:dyDescent="0.2">
      <c r="J569" s="11"/>
    </row>
    <row r="570" spans="10:10" ht="15" customHeight="1" x14ac:dyDescent="0.2">
      <c r="J570" s="11"/>
    </row>
    <row r="571" spans="10:10" ht="15" customHeight="1" x14ac:dyDescent="0.2">
      <c r="J571" s="11"/>
    </row>
    <row r="572" spans="10:10" ht="15" customHeight="1" x14ac:dyDescent="0.2">
      <c r="J572" s="11"/>
    </row>
    <row r="573" spans="10:10" ht="15" customHeight="1" x14ac:dyDescent="0.2">
      <c r="J573" s="11"/>
    </row>
    <row r="574" spans="10:10" ht="15" customHeight="1" x14ac:dyDescent="0.2">
      <c r="J574" s="11"/>
    </row>
    <row r="575" spans="10:10" ht="15" customHeight="1" x14ac:dyDescent="0.2">
      <c r="J575" s="11"/>
    </row>
    <row r="576" spans="10:10" ht="15" customHeight="1" x14ac:dyDescent="0.2">
      <c r="J576" s="11"/>
    </row>
    <row r="577" spans="10:10" ht="15" customHeight="1" x14ac:dyDescent="0.2">
      <c r="J577" s="11"/>
    </row>
    <row r="578" spans="10:10" ht="15" customHeight="1" x14ac:dyDescent="0.2">
      <c r="J578" s="11"/>
    </row>
    <row r="579" spans="10:10" ht="15" customHeight="1" x14ac:dyDescent="0.2">
      <c r="J579" s="11"/>
    </row>
    <row r="580" spans="10:10" ht="15" customHeight="1" x14ac:dyDescent="0.2">
      <c r="J580" s="11"/>
    </row>
    <row r="581" spans="10:10" ht="15" customHeight="1" x14ac:dyDescent="0.2">
      <c r="J581" s="11"/>
    </row>
    <row r="582" spans="10:10" ht="15" customHeight="1" x14ac:dyDescent="0.2">
      <c r="J582" s="11"/>
    </row>
    <row r="583" spans="10:10" ht="15" customHeight="1" x14ac:dyDescent="0.2">
      <c r="J583" s="11"/>
    </row>
    <row r="584" spans="10:10" ht="15" customHeight="1" x14ac:dyDescent="0.2">
      <c r="J584" s="11"/>
    </row>
    <row r="585" spans="10:10" ht="15" customHeight="1" x14ac:dyDescent="0.2">
      <c r="J585" s="11"/>
    </row>
    <row r="586" spans="10:10" ht="15" customHeight="1" x14ac:dyDescent="0.2">
      <c r="J586" s="11"/>
    </row>
    <row r="587" spans="10:10" ht="15" customHeight="1" x14ac:dyDescent="0.2">
      <c r="J587" s="11"/>
    </row>
    <row r="588" spans="10:10" ht="15" customHeight="1" x14ac:dyDescent="0.2">
      <c r="J588" s="11"/>
    </row>
    <row r="589" spans="10:10" ht="15" customHeight="1" x14ac:dyDescent="0.2">
      <c r="J589" s="11"/>
    </row>
    <row r="590" spans="10:10" ht="15" customHeight="1" x14ac:dyDescent="0.2">
      <c r="J590" s="11"/>
    </row>
    <row r="591" spans="10:10" ht="15" customHeight="1" x14ac:dyDescent="0.2">
      <c r="J591" s="11"/>
    </row>
    <row r="592" spans="10:10" ht="15" customHeight="1" x14ac:dyDescent="0.2">
      <c r="J592" s="11"/>
    </row>
    <row r="593" spans="10:10" ht="15" customHeight="1" x14ac:dyDescent="0.2">
      <c r="J593" s="11"/>
    </row>
    <row r="594" spans="10:10" ht="15" customHeight="1" x14ac:dyDescent="0.2">
      <c r="J594" s="11"/>
    </row>
    <row r="595" spans="10:10" ht="15" customHeight="1" x14ac:dyDescent="0.2">
      <c r="J595" s="11"/>
    </row>
    <row r="596" spans="10:10" ht="15" customHeight="1" x14ac:dyDescent="0.2">
      <c r="J596" s="11"/>
    </row>
    <row r="597" spans="10:10" ht="15" customHeight="1" x14ac:dyDescent="0.2">
      <c r="J597" s="11"/>
    </row>
    <row r="598" spans="10:10" ht="15" customHeight="1" x14ac:dyDescent="0.2">
      <c r="J598" s="11"/>
    </row>
    <row r="599" spans="10:10" ht="15" customHeight="1" x14ac:dyDescent="0.2">
      <c r="J599" s="11"/>
    </row>
    <row r="600" spans="10:10" ht="15" customHeight="1" x14ac:dyDescent="0.2">
      <c r="J600" s="11"/>
    </row>
    <row r="601" spans="10:10" ht="15" customHeight="1" x14ac:dyDescent="0.2">
      <c r="J601" s="11"/>
    </row>
    <row r="602" spans="10:10" ht="15" customHeight="1" x14ac:dyDescent="0.2">
      <c r="J602" s="11"/>
    </row>
    <row r="603" spans="10:10" ht="15" customHeight="1" x14ac:dyDescent="0.2">
      <c r="J603" s="11"/>
    </row>
    <row r="604" spans="10:10" ht="15" customHeight="1" x14ac:dyDescent="0.2">
      <c r="J604" s="11"/>
    </row>
    <row r="605" spans="10:10" ht="15" customHeight="1" x14ac:dyDescent="0.2">
      <c r="J605" s="11"/>
    </row>
    <row r="606" spans="10:10" ht="15" customHeight="1" x14ac:dyDescent="0.2">
      <c r="J606" s="11"/>
    </row>
    <row r="607" spans="10:10" ht="15" customHeight="1" x14ac:dyDescent="0.2">
      <c r="J607" s="11"/>
    </row>
    <row r="608" spans="10:10" ht="15" customHeight="1" x14ac:dyDescent="0.2">
      <c r="J608" s="11"/>
    </row>
    <row r="609" spans="10:10" ht="15" customHeight="1" x14ac:dyDescent="0.2">
      <c r="J609" s="11"/>
    </row>
    <row r="610" spans="10:10" ht="15" customHeight="1" x14ac:dyDescent="0.2">
      <c r="J610" s="11"/>
    </row>
    <row r="611" spans="10:10" ht="15" customHeight="1" x14ac:dyDescent="0.2">
      <c r="J611" s="11"/>
    </row>
    <row r="612" spans="10:10" ht="15" customHeight="1" x14ac:dyDescent="0.2">
      <c r="J612" s="11"/>
    </row>
    <row r="613" spans="10:10" ht="15" customHeight="1" x14ac:dyDescent="0.2">
      <c r="J613" s="11"/>
    </row>
    <row r="614" spans="10:10" ht="15" customHeight="1" x14ac:dyDescent="0.2">
      <c r="J614" s="11"/>
    </row>
    <row r="615" spans="10:10" ht="15" customHeight="1" x14ac:dyDescent="0.2">
      <c r="J615" s="11"/>
    </row>
    <row r="616" spans="10:10" ht="15" customHeight="1" x14ac:dyDescent="0.2">
      <c r="J616" s="11"/>
    </row>
    <row r="617" spans="10:10" ht="15" customHeight="1" x14ac:dyDescent="0.2">
      <c r="J617" s="11"/>
    </row>
    <row r="618" spans="10:10" ht="15" customHeight="1" x14ac:dyDescent="0.2">
      <c r="J618" s="11"/>
    </row>
    <row r="619" spans="10:10" ht="15" customHeight="1" x14ac:dyDescent="0.2">
      <c r="J619" s="11"/>
    </row>
    <row r="620" spans="10:10" ht="15" customHeight="1" x14ac:dyDescent="0.2">
      <c r="J620" s="11"/>
    </row>
    <row r="621" spans="10:10" ht="15" customHeight="1" x14ac:dyDescent="0.2">
      <c r="J621" s="11"/>
    </row>
    <row r="622" spans="10:10" ht="15" customHeight="1" x14ac:dyDescent="0.2">
      <c r="J622" s="11"/>
    </row>
    <row r="623" spans="10:10" ht="15" customHeight="1" x14ac:dyDescent="0.2">
      <c r="J623" s="11"/>
    </row>
    <row r="624" spans="10:10" ht="15" customHeight="1" x14ac:dyDescent="0.2">
      <c r="J624" s="11"/>
    </row>
    <row r="625" spans="10:10" ht="15" customHeight="1" x14ac:dyDescent="0.2">
      <c r="J625" s="11"/>
    </row>
    <row r="626" spans="10:10" ht="15" customHeight="1" x14ac:dyDescent="0.2">
      <c r="J626" s="11"/>
    </row>
    <row r="627" spans="10:10" ht="15" customHeight="1" x14ac:dyDescent="0.2">
      <c r="J627" s="11"/>
    </row>
    <row r="628" spans="10:10" ht="15" customHeight="1" x14ac:dyDescent="0.2">
      <c r="J628" s="11"/>
    </row>
    <row r="629" spans="10:10" ht="15" customHeight="1" x14ac:dyDescent="0.2">
      <c r="J629" s="11"/>
    </row>
    <row r="630" spans="10:10" ht="15" customHeight="1" x14ac:dyDescent="0.2">
      <c r="J630" s="11"/>
    </row>
    <row r="631" spans="10:10" ht="15" customHeight="1" x14ac:dyDescent="0.2">
      <c r="J631" s="11"/>
    </row>
    <row r="632" spans="10:10" ht="15" customHeight="1" x14ac:dyDescent="0.2">
      <c r="J632" s="11"/>
    </row>
    <row r="633" spans="10:10" ht="15" customHeight="1" x14ac:dyDescent="0.2">
      <c r="J633" s="11"/>
    </row>
    <row r="634" spans="10:10" ht="15" customHeight="1" x14ac:dyDescent="0.2">
      <c r="J634" s="11"/>
    </row>
    <row r="635" spans="10:10" ht="15" customHeight="1" x14ac:dyDescent="0.2">
      <c r="J635" s="11"/>
    </row>
    <row r="636" spans="10:10" ht="15" customHeight="1" x14ac:dyDescent="0.2">
      <c r="J636" s="11"/>
    </row>
    <row r="637" spans="10:10" ht="15" customHeight="1" x14ac:dyDescent="0.2">
      <c r="J637" s="11"/>
    </row>
    <row r="638" spans="10:10" ht="15" customHeight="1" x14ac:dyDescent="0.2">
      <c r="J638" s="11"/>
    </row>
    <row r="639" spans="10:10" ht="15" customHeight="1" x14ac:dyDescent="0.2">
      <c r="J639" s="11"/>
    </row>
    <row r="640" spans="10:10" ht="15" customHeight="1" x14ac:dyDescent="0.2">
      <c r="J640" s="11"/>
    </row>
    <row r="641" spans="10:10" ht="15" customHeight="1" x14ac:dyDescent="0.2">
      <c r="J641" s="11"/>
    </row>
    <row r="642" spans="10:10" ht="15" customHeight="1" x14ac:dyDescent="0.2">
      <c r="J642" s="11"/>
    </row>
    <row r="643" spans="10:10" ht="15" customHeight="1" x14ac:dyDescent="0.2">
      <c r="J643" s="11"/>
    </row>
    <row r="644" spans="10:10" ht="15" customHeight="1" x14ac:dyDescent="0.2">
      <c r="J644" s="11"/>
    </row>
    <row r="645" spans="10:10" ht="15" customHeight="1" x14ac:dyDescent="0.2">
      <c r="J645" s="11"/>
    </row>
    <row r="646" spans="10:10" ht="15" customHeight="1" x14ac:dyDescent="0.2">
      <c r="J646" s="11"/>
    </row>
    <row r="647" spans="10:10" ht="15" customHeight="1" x14ac:dyDescent="0.2">
      <c r="J647" s="11"/>
    </row>
    <row r="648" spans="10:10" ht="15" customHeight="1" x14ac:dyDescent="0.2">
      <c r="J648" s="11"/>
    </row>
    <row r="649" spans="10:10" ht="15" customHeight="1" x14ac:dyDescent="0.2">
      <c r="J649" s="11"/>
    </row>
    <row r="650" spans="10:10" ht="15" customHeight="1" x14ac:dyDescent="0.2">
      <c r="J650" s="11"/>
    </row>
    <row r="651" spans="10:10" ht="15" customHeight="1" x14ac:dyDescent="0.2">
      <c r="J651" s="11"/>
    </row>
    <row r="652" spans="10:10" ht="15" customHeight="1" x14ac:dyDescent="0.2">
      <c r="J652" s="11"/>
    </row>
    <row r="653" spans="10:10" ht="15" customHeight="1" x14ac:dyDescent="0.2">
      <c r="J653" s="11"/>
    </row>
    <row r="654" spans="10:10" ht="15" customHeight="1" x14ac:dyDescent="0.2">
      <c r="J654" s="11"/>
    </row>
    <row r="655" spans="10:10" ht="15" customHeight="1" x14ac:dyDescent="0.2">
      <c r="J655" s="11"/>
    </row>
    <row r="656" spans="10:10" ht="15" customHeight="1" x14ac:dyDescent="0.2">
      <c r="J656" s="11"/>
    </row>
    <row r="657" spans="10:10" ht="15" customHeight="1" x14ac:dyDescent="0.2">
      <c r="J657" s="11"/>
    </row>
    <row r="658" spans="10:10" ht="15" customHeight="1" x14ac:dyDescent="0.2">
      <c r="J658" s="11"/>
    </row>
    <row r="659" spans="10:10" ht="15" customHeight="1" x14ac:dyDescent="0.2">
      <c r="J659" s="11"/>
    </row>
    <row r="660" spans="10:10" ht="15" customHeight="1" x14ac:dyDescent="0.2">
      <c r="J660" s="11"/>
    </row>
    <row r="661" spans="10:10" ht="15" customHeight="1" x14ac:dyDescent="0.2">
      <c r="J661" s="11"/>
    </row>
    <row r="662" spans="10:10" ht="15" customHeight="1" x14ac:dyDescent="0.2">
      <c r="J662" s="11"/>
    </row>
    <row r="663" spans="10:10" ht="15" customHeight="1" x14ac:dyDescent="0.2">
      <c r="J663" s="11"/>
    </row>
    <row r="664" spans="10:10" ht="15" customHeight="1" x14ac:dyDescent="0.2">
      <c r="J664" s="11"/>
    </row>
    <row r="665" spans="10:10" ht="15" customHeight="1" x14ac:dyDescent="0.2">
      <c r="J665" s="11"/>
    </row>
    <row r="666" spans="10:10" ht="15" customHeight="1" x14ac:dyDescent="0.2">
      <c r="J666" s="11"/>
    </row>
    <row r="667" spans="10:10" ht="15" customHeight="1" x14ac:dyDescent="0.2">
      <c r="J667" s="11"/>
    </row>
    <row r="668" spans="10:10" ht="15" customHeight="1" x14ac:dyDescent="0.2">
      <c r="J668" s="11"/>
    </row>
    <row r="669" spans="10:10" ht="15" customHeight="1" x14ac:dyDescent="0.2">
      <c r="J669" s="11"/>
    </row>
    <row r="670" spans="10:10" ht="15" customHeight="1" x14ac:dyDescent="0.2">
      <c r="J670" s="11"/>
    </row>
    <row r="671" spans="10:10" ht="15" customHeight="1" x14ac:dyDescent="0.2">
      <c r="J671" s="11"/>
    </row>
    <row r="672" spans="10:10" ht="15" customHeight="1" x14ac:dyDescent="0.2">
      <c r="J672" s="11"/>
    </row>
    <row r="673" spans="10:10" ht="15" customHeight="1" x14ac:dyDescent="0.2">
      <c r="J673" s="11"/>
    </row>
    <row r="674" spans="10:10" ht="15" customHeight="1" x14ac:dyDescent="0.2">
      <c r="J674" s="11"/>
    </row>
    <row r="675" spans="10:10" ht="15" customHeight="1" x14ac:dyDescent="0.2">
      <c r="J675" s="11"/>
    </row>
    <row r="676" spans="10:10" ht="15" customHeight="1" x14ac:dyDescent="0.2">
      <c r="J676" s="11"/>
    </row>
    <row r="677" spans="10:10" ht="15" customHeight="1" x14ac:dyDescent="0.2">
      <c r="J677" s="11"/>
    </row>
    <row r="678" spans="10:10" ht="15" customHeight="1" x14ac:dyDescent="0.2">
      <c r="J678" s="11"/>
    </row>
    <row r="679" spans="10:10" ht="15" customHeight="1" x14ac:dyDescent="0.2">
      <c r="J679" s="11"/>
    </row>
    <row r="680" spans="10:10" ht="15" customHeight="1" x14ac:dyDescent="0.2">
      <c r="J680" s="11"/>
    </row>
    <row r="681" spans="10:10" ht="15" customHeight="1" x14ac:dyDescent="0.2">
      <c r="J681" s="11"/>
    </row>
    <row r="682" spans="10:10" ht="15" customHeight="1" x14ac:dyDescent="0.2">
      <c r="J682" s="11"/>
    </row>
    <row r="683" spans="10:10" ht="15" customHeight="1" x14ac:dyDescent="0.2">
      <c r="J683" s="11"/>
    </row>
    <row r="684" spans="10:10" ht="15" customHeight="1" x14ac:dyDescent="0.2">
      <c r="J684" s="11"/>
    </row>
    <row r="685" spans="10:10" ht="15" customHeight="1" x14ac:dyDescent="0.2">
      <c r="J685" s="11"/>
    </row>
    <row r="686" spans="10:10" ht="15" customHeight="1" x14ac:dyDescent="0.2">
      <c r="J686" s="11"/>
    </row>
    <row r="687" spans="10:10" ht="15" customHeight="1" x14ac:dyDescent="0.2">
      <c r="J687" s="11"/>
    </row>
    <row r="688" spans="10:10" ht="15" customHeight="1" x14ac:dyDescent="0.2">
      <c r="J688" s="11"/>
    </row>
    <row r="689" ht="15" customHeight="1" x14ac:dyDescent="0.2"/>
    <row r="690" ht="15" customHeight="1" x14ac:dyDescent="0.2"/>
    <row r="691" ht="15" customHeight="1" x14ac:dyDescent="0.2"/>
    <row r="692" ht="15" customHeight="1" x14ac:dyDescent="0.2"/>
    <row r="693" ht="15" customHeight="1" x14ac:dyDescent="0.2"/>
    <row r="694" ht="15" customHeight="1" x14ac:dyDescent="0.2"/>
    <row r="695" ht="15" customHeight="1" x14ac:dyDescent="0.2"/>
    <row r="696" ht="15" customHeight="1" x14ac:dyDescent="0.2"/>
    <row r="697" ht="15" customHeight="1" x14ac:dyDescent="0.2"/>
    <row r="698" ht="15" customHeight="1" x14ac:dyDescent="0.2"/>
    <row r="699" ht="15" customHeight="1" x14ac:dyDescent="0.2"/>
    <row r="700" ht="15" customHeight="1" x14ac:dyDescent="0.2"/>
    <row r="701" ht="15" customHeight="1" x14ac:dyDescent="0.2"/>
    <row r="702" ht="15" customHeight="1" x14ac:dyDescent="0.2"/>
    <row r="703" ht="15" customHeight="1" x14ac:dyDescent="0.2"/>
    <row r="704" ht="15" customHeight="1" x14ac:dyDescent="0.2"/>
    <row r="705" ht="15" customHeight="1" x14ac:dyDescent="0.2"/>
    <row r="706" ht="15" customHeight="1" x14ac:dyDescent="0.2"/>
    <row r="707" ht="15" customHeight="1" x14ac:dyDescent="0.2"/>
    <row r="708" ht="15" customHeight="1" x14ac:dyDescent="0.2"/>
    <row r="709" ht="15" customHeight="1" x14ac:dyDescent="0.2"/>
    <row r="710" ht="15" customHeight="1" x14ac:dyDescent="0.2"/>
    <row r="711" ht="15" customHeight="1" x14ac:dyDescent="0.2"/>
    <row r="712" ht="15" customHeight="1" x14ac:dyDescent="0.2"/>
    <row r="713" ht="15" customHeight="1" x14ac:dyDescent="0.2"/>
    <row r="714" ht="15" customHeight="1" x14ac:dyDescent="0.2"/>
    <row r="715" ht="15" customHeight="1" x14ac:dyDescent="0.2"/>
    <row r="716" ht="15" customHeight="1" x14ac:dyDescent="0.2"/>
    <row r="717" ht="15" customHeight="1" x14ac:dyDescent="0.2"/>
    <row r="718" ht="15" customHeight="1" x14ac:dyDescent="0.2"/>
    <row r="719" ht="15" customHeight="1" x14ac:dyDescent="0.2"/>
    <row r="720" ht="15" customHeight="1" x14ac:dyDescent="0.2"/>
    <row r="721" ht="15" customHeight="1" x14ac:dyDescent="0.2"/>
    <row r="722" ht="15" customHeight="1" x14ac:dyDescent="0.2"/>
    <row r="723" ht="15" customHeight="1" x14ac:dyDescent="0.2"/>
    <row r="724" ht="15" customHeight="1" x14ac:dyDescent="0.2"/>
    <row r="725" ht="15" customHeight="1" x14ac:dyDescent="0.2"/>
    <row r="726" ht="15" customHeight="1" x14ac:dyDescent="0.2"/>
    <row r="727" ht="15" customHeight="1" x14ac:dyDescent="0.2"/>
    <row r="728" ht="15" customHeight="1" x14ac:dyDescent="0.2"/>
    <row r="729" ht="15" customHeight="1" x14ac:dyDescent="0.2"/>
    <row r="730" ht="15" customHeight="1" x14ac:dyDescent="0.2"/>
    <row r="731" ht="15" customHeight="1" x14ac:dyDescent="0.2"/>
    <row r="732" ht="15" customHeight="1" x14ac:dyDescent="0.2"/>
    <row r="733" ht="15" customHeight="1" x14ac:dyDescent="0.2"/>
    <row r="734" ht="15" customHeight="1" x14ac:dyDescent="0.2"/>
    <row r="735" ht="15" customHeight="1" x14ac:dyDescent="0.2"/>
    <row r="736" ht="15" customHeight="1" x14ac:dyDescent="0.2"/>
    <row r="737" ht="15" customHeight="1" x14ac:dyDescent="0.2"/>
    <row r="738" ht="15" customHeight="1" x14ac:dyDescent="0.2"/>
    <row r="739" ht="15" customHeight="1" x14ac:dyDescent="0.2"/>
    <row r="740" ht="15" customHeight="1" x14ac:dyDescent="0.2"/>
    <row r="741" ht="15" customHeight="1" x14ac:dyDescent="0.2"/>
    <row r="742" ht="15" customHeight="1" x14ac:dyDescent="0.2"/>
    <row r="743" ht="15" customHeight="1" x14ac:dyDescent="0.2"/>
    <row r="744" ht="15" customHeight="1" x14ac:dyDescent="0.2"/>
    <row r="745" ht="15" customHeight="1" x14ac:dyDescent="0.2"/>
    <row r="746" ht="15" customHeight="1" x14ac:dyDescent="0.2"/>
    <row r="747" ht="15" customHeight="1" x14ac:dyDescent="0.2"/>
    <row r="748" ht="15" customHeight="1" x14ac:dyDescent="0.2"/>
    <row r="749" ht="15" customHeight="1" x14ac:dyDescent="0.2"/>
    <row r="750" ht="15" customHeight="1" x14ac:dyDescent="0.2"/>
    <row r="751" ht="15" customHeight="1" x14ac:dyDescent="0.2"/>
    <row r="752" ht="15" customHeight="1" x14ac:dyDescent="0.2"/>
    <row r="753" ht="15" customHeight="1" x14ac:dyDescent="0.2"/>
    <row r="754" ht="15" customHeight="1" x14ac:dyDescent="0.2"/>
    <row r="755" ht="15" customHeight="1" x14ac:dyDescent="0.2"/>
    <row r="756" ht="15" customHeight="1" x14ac:dyDescent="0.2"/>
    <row r="757" ht="15" customHeight="1" x14ac:dyDescent="0.2"/>
    <row r="758" ht="15" customHeight="1" x14ac:dyDescent="0.2"/>
    <row r="759" ht="15" customHeight="1" x14ac:dyDescent="0.2"/>
    <row r="760" ht="15" customHeight="1" x14ac:dyDescent="0.2"/>
    <row r="761" ht="15" customHeight="1" x14ac:dyDescent="0.2"/>
    <row r="762" ht="15" customHeight="1" x14ac:dyDescent="0.2"/>
    <row r="763" ht="15" customHeight="1" x14ac:dyDescent="0.2"/>
    <row r="764" ht="15" customHeight="1" x14ac:dyDescent="0.2"/>
    <row r="765" ht="15" customHeight="1" x14ac:dyDescent="0.2"/>
    <row r="766" ht="15" customHeight="1" x14ac:dyDescent="0.2"/>
    <row r="767" ht="15" customHeight="1" x14ac:dyDescent="0.2"/>
    <row r="768" ht="15" customHeight="1" x14ac:dyDescent="0.2"/>
    <row r="769" ht="15" customHeight="1" x14ac:dyDescent="0.2"/>
    <row r="770" ht="15" customHeight="1" x14ac:dyDescent="0.2"/>
    <row r="771" ht="15" customHeight="1" x14ac:dyDescent="0.2"/>
    <row r="772" ht="15" customHeight="1" x14ac:dyDescent="0.2"/>
    <row r="773" ht="15" customHeight="1" x14ac:dyDescent="0.2"/>
    <row r="774" ht="15" customHeight="1" x14ac:dyDescent="0.2"/>
    <row r="775" ht="15" customHeight="1" x14ac:dyDescent="0.2"/>
    <row r="776" ht="15" customHeight="1" x14ac:dyDescent="0.2"/>
    <row r="777" ht="15" customHeight="1" x14ac:dyDescent="0.2"/>
    <row r="778" ht="15" customHeight="1" x14ac:dyDescent="0.2"/>
    <row r="779" ht="15" customHeight="1" x14ac:dyDescent="0.2"/>
    <row r="780" ht="15" customHeight="1" x14ac:dyDescent="0.2"/>
    <row r="781" ht="15" customHeight="1" x14ac:dyDescent="0.2"/>
    <row r="782" ht="15" customHeight="1" x14ac:dyDescent="0.2"/>
    <row r="783" ht="15" customHeight="1" x14ac:dyDescent="0.2"/>
    <row r="784" ht="15" customHeight="1" x14ac:dyDescent="0.2"/>
    <row r="785" ht="15" customHeight="1" x14ac:dyDescent="0.2"/>
    <row r="786" ht="15" customHeight="1" x14ac:dyDescent="0.2"/>
    <row r="787" ht="15" customHeight="1" x14ac:dyDescent="0.2"/>
    <row r="788" ht="15" customHeight="1" x14ac:dyDescent="0.2"/>
    <row r="789" ht="15" customHeight="1" x14ac:dyDescent="0.2"/>
    <row r="790" ht="15" customHeight="1" x14ac:dyDescent="0.2"/>
    <row r="791" ht="15" customHeight="1" x14ac:dyDescent="0.2"/>
    <row r="792" ht="15" customHeight="1" x14ac:dyDescent="0.2"/>
    <row r="793" ht="15" customHeight="1" x14ac:dyDescent="0.2"/>
    <row r="794" ht="15" customHeight="1" x14ac:dyDescent="0.2"/>
    <row r="795" ht="15" customHeight="1" x14ac:dyDescent="0.2"/>
    <row r="796" ht="15" customHeight="1" x14ac:dyDescent="0.2"/>
    <row r="797" ht="15" customHeight="1" x14ac:dyDescent="0.2"/>
    <row r="798" ht="15" customHeight="1" x14ac:dyDescent="0.2"/>
    <row r="799" ht="15" customHeight="1" x14ac:dyDescent="0.2"/>
    <row r="800" ht="15" customHeight="1" x14ac:dyDescent="0.2"/>
    <row r="801" ht="15" customHeight="1" x14ac:dyDescent="0.2"/>
    <row r="802" ht="15" customHeight="1" x14ac:dyDescent="0.2"/>
    <row r="803" ht="15" customHeight="1" x14ac:dyDescent="0.2"/>
    <row r="804" ht="15" customHeight="1" x14ac:dyDescent="0.2"/>
    <row r="805" ht="15" customHeight="1" x14ac:dyDescent="0.2"/>
    <row r="806" ht="15" customHeight="1" x14ac:dyDescent="0.2"/>
    <row r="807" ht="15" customHeight="1" x14ac:dyDescent="0.2"/>
    <row r="808" ht="15" customHeight="1" x14ac:dyDescent="0.2"/>
    <row r="809" ht="15" customHeight="1" x14ac:dyDescent="0.2"/>
    <row r="810" ht="15" customHeight="1" x14ac:dyDescent="0.2"/>
    <row r="811" ht="15" customHeight="1" x14ac:dyDescent="0.2"/>
    <row r="812" ht="15" customHeight="1" x14ac:dyDescent="0.2"/>
    <row r="813" ht="15" customHeight="1" x14ac:dyDescent="0.2"/>
    <row r="814" ht="15" customHeight="1" x14ac:dyDescent="0.2"/>
    <row r="815" ht="15" customHeight="1" x14ac:dyDescent="0.2"/>
    <row r="816" ht="15" customHeight="1" x14ac:dyDescent="0.2"/>
    <row r="817" ht="15" customHeight="1" x14ac:dyDescent="0.2"/>
    <row r="818" ht="15" customHeight="1" x14ac:dyDescent="0.2"/>
    <row r="819" ht="15" customHeight="1" x14ac:dyDescent="0.2"/>
    <row r="820" ht="15" customHeight="1" x14ac:dyDescent="0.2"/>
    <row r="821" ht="15" customHeight="1" x14ac:dyDescent="0.2"/>
    <row r="822" ht="15" customHeight="1" x14ac:dyDescent="0.2"/>
    <row r="823" ht="15" customHeight="1" x14ac:dyDescent="0.2"/>
    <row r="824" ht="15" customHeight="1" x14ac:dyDescent="0.2"/>
    <row r="825" ht="15" customHeight="1" x14ac:dyDescent="0.2"/>
    <row r="826" ht="15" customHeight="1" x14ac:dyDescent="0.2"/>
    <row r="827" ht="15" customHeight="1" x14ac:dyDescent="0.2"/>
    <row r="828" ht="15" customHeight="1" x14ac:dyDescent="0.2"/>
    <row r="829" ht="15" customHeight="1" x14ac:dyDescent="0.2"/>
    <row r="830" ht="15" customHeight="1" x14ac:dyDescent="0.2"/>
    <row r="831" ht="15" customHeight="1" x14ac:dyDescent="0.2"/>
    <row r="832" ht="15" customHeight="1" x14ac:dyDescent="0.2"/>
    <row r="833" ht="15" customHeight="1" x14ac:dyDescent="0.2"/>
    <row r="834" ht="15" customHeight="1" x14ac:dyDescent="0.2"/>
    <row r="835" ht="15" customHeight="1" x14ac:dyDescent="0.2"/>
    <row r="836" ht="15" customHeight="1" x14ac:dyDescent="0.2"/>
    <row r="837" ht="15" customHeight="1" x14ac:dyDescent="0.2"/>
    <row r="838" ht="15" customHeight="1" x14ac:dyDescent="0.2"/>
    <row r="839" ht="15" customHeight="1" x14ac:dyDescent="0.2"/>
    <row r="840" ht="15" customHeight="1" x14ac:dyDescent="0.2"/>
    <row r="841" ht="15" customHeight="1" x14ac:dyDescent="0.2"/>
    <row r="842" ht="15" customHeight="1" x14ac:dyDescent="0.2"/>
    <row r="843" ht="15" customHeight="1" x14ac:dyDescent="0.2"/>
    <row r="844" ht="15" customHeight="1" x14ac:dyDescent="0.2"/>
    <row r="845" ht="15" customHeight="1" x14ac:dyDescent="0.2"/>
    <row r="846" ht="15" customHeight="1" x14ac:dyDescent="0.2"/>
    <row r="847" ht="15" customHeight="1" x14ac:dyDescent="0.2"/>
    <row r="848" ht="15" customHeight="1" x14ac:dyDescent="0.2"/>
    <row r="849" ht="15" customHeight="1" x14ac:dyDescent="0.2"/>
    <row r="850" ht="15" customHeight="1" x14ac:dyDescent="0.2"/>
    <row r="851" ht="15" customHeight="1" x14ac:dyDescent="0.2"/>
    <row r="852" ht="15" customHeight="1" x14ac:dyDescent="0.2"/>
    <row r="853" ht="15" customHeight="1" x14ac:dyDescent="0.2"/>
    <row r="854" ht="15" customHeight="1" x14ac:dyDescent="0.2"/>
    <row r="855" ht="15" customHeight="1" x14ac:dyDescent="0.2"/>
    <row r="856" ht="15" customHeight="1" x14ac:dyDescent="0.2"/>
    <row r="857" ht="15" customHeight="1" x14ac:dyDescent="0.2"/>
    <row r="858" ht="15" customHeight="1" x14ac:dyDescent="0.2"/>
    <row r="859" ht="15" customHeight="1" x14ac:dyDescent="0.2"/>
    <row r="860" ht="15" customHeight="1" x14ac:dyDescent="0.2"/>
    <row r="861" ht="15" customHeight="1" x14ac:dyDescent="0.2"/>
    <row r="862" ht="15" customHeight="1" x14ac:dyDescent="0.2"/>
    <row r="863" ht="15" customHeight="1" x14ac:dyDescent="0.2"/>
    <row r="864" ht="15" customHeight="1" x14ac:dyDescent="0.2"/>
    <row r="865" ht="15" customHeight="1" x14ac:dyDescent="0.2"/>
    <row r="866" ht="15" customHeight="1" x14ac:dyDescent="0.2"/>
    <row r="867" ht="15" customHeight="1" x14ac:dyDescent="0.2"/>
    <row r="868" ht="15" customHeight="1" x14ac:dyDescent="0.2"/>
    <row r="869" ht="15" customHeight="1" x14ac:dyDescent="0.2"/>
    <row r="870" ht="15" customHeight="1" x14ac:dyDescent="0.2"/>
    <row r="871" ht="15" customHeight="1" x14ac:dyDescent="0.2"/>
    <row r="872" ht="15" customHeight="1" x14ac:dyDescent="0.2"/>
    <row r="873" ht="15" customHeight="1" x14ac:dyDescent="0.2"/>
    <row r="874" ht="15" customHeight="1" x14ac:dyDescent="0.2"/>
    <row r="875" ht="15" customHeight="1" x14ac:dyDescent="0.2"/>
    <row r="876" ht="15" customHeight="1" x14ac:dyDescent="0.2"/>
    <row r="877" ht="15" customHeight="1" x14ac:dyDescent="0.2"/>
    <row r="878" ht="15" customHeight="1" x14ac:dyDescent="0.2"/>
    <row r="879" ht="15" customHeight="1" x14ac:dyDescent="0.2"/>
    <row r="880" ht="15" customHeight="1" x14ac:dyDescent="0.2"/>
    <row r="881" ht="15" customHeight="1" x14ac:dyDescent="0.2"/>
    <row r="882" ht="15" customHeight="1" x14ac:dyDescent="0.2"/>
    <row r="883" ht="15" customHeight="1" x14ac:dyDescent="0.2"/>
    <row r="884" ht="15" customHeight="1" x14ac:dyDescent="0.2"/>
    <row r="885" ht="15" customHeight="1" x14ac:dyDescent="0.2"/>
    <row r="886" ht="15" customHeight="1" x14ac:dyDescent="0.2"/>
    <row r="887" ht="15" customHeight="1" x14ac:dyDescent="0.2"/>
    <row r="888" ht="15" customHeight="1" x14ac:dyDescent="0.2"/>
    <row r="889" ht="15" customHeight="1" x14ac:dyDescent="0.2"/>
    <row r="890" ht="15" customHeight="1" x14ac:dyDescent="0.2"/>
    <row r="891" ht="15" customHeight="1" x14ac:dyDescent="0.2"/>
    <row r="892" ht="15" customHeight="1" x14ac:dyDescent="0.2"/>
    <row r="893" ht="15" customHeight="1" x14ac:dyDescent="0.2"/>
    <row r="894" ht="15" customHeight="1" x14ac:dyDescent="0.2"/>
    <row r="895" ht="15" customHeight="1" x14ac:dyDescent="0.2"/>
    <row r="896" ht="15" customHeight="1" x14ac:dyDescent="0.2"/>
    <row r="897" ht="15" customHeight="1" x14ac:dyDescent="0.2"/>
    <row r="898" ht="15" customHeight="1" x14ac:dyDescent="0.2"/>
    <row r="899" ht="15" customHeight="1" x14ac:dyDescent="0.2"/>
    <row r="900" ht="15" customHeight="1" x14ac:dyDescent="0.2"/>
    <row r="901" ht="15" customHeight="1" x14ac:dyDescent="0.2"/>
    <row r="902" ht="15" customHeight="1" x14ac:dyDescent="0.2"/>
    <row r="903" ht="15" customHeight="1" x14ac:dyDescent="0.2"/>
    <row r="904" ht="15" customHeight="1" x14ac:dyDescent="0.2"/>
    <row r="905" ht="15" customHeight="1" x14ac:dyDescent="0.2"/>
    <row r="906" ht="15" customHeight="1" x14ac:dyDescent="0.2"/>
    <row r="907" ht="15" customHeight="1" x14ac:dyDescent="0.2"/>
    <row r="908" ht="15" customHeight="1" x14ac:dyDescent="0.2"/>
    <row r="909" ht="15" customHeight="1" x14ac:dyDescent="0.2"/>
    <row r="910" ht="15" customHeight="1" x14ac:dyDescent="0.2"/>
    <row r="911" ht="15" customHeight="1" x14ac:dyDescent="0.2"/>
    <row r="912" ht="15" customHeight="1" x14ac:dyDescent="0.2"/>
    <row r="913" ht="15" customHeight="1" x14ac:dyDescent="0.2"/>
    <row r="914" ht="15" customHeight="1" x14ac:dyDescent="0.2"/>
    <row r="915" ht="15" customHeight="1" x14ac:dyDescent="0.2"/>
    <row r="916" ht="15" customHeight="1" x14ac:dyDescent="0.2"/>
    <row r="917" ht="15" customHeight="1" x14ac:dyDescent="0.2"/>
    <row r="918" ht="15" customHeight="1" x14ac:dyDescent="0.2"/>
    <row r="919" ht="15" customHeight="1" x14ac:dyDescent="0.2"/>
    <row r="920" ht="15" customHeight="1" x14ac:dyDescent="0.2"/>
    <row r="921" ht="15" customHeight="1" x14ac:dyDescent="0.2"/>
    <row r="922" ht="15" customHeight="1" x14ac:dyDescent="0.2"/>
    <row r="923" ht="15" customHeight="1" x14ac:dyDescent="0.2"/>
    <row r="924" ht="15" customHeight="1" x14ac:dyDescent="0.2"/>
    <row r="925" ht="15" customHeight="1" x14ac:dyDescent="0.2"/>
    <row r="926" ht="15" customHeight="1" x14ac:dyDescent="0.2"/>
    <row r="927" ht="15" customHeight="1" x14ac:dyDescent="0.2"/>
    <row r="928" ht="15" customHeight="1" x14ac:dyDescent="0.2"/>
    <row r="929" ht="15" customHeight="1" x14ac:dyDescent="0.2"/>
    <row r="930" ht="15" customHeight="1" x14ac:dyDescent="0.2"/>
    <row r="931" ht="15" customHeight="1" x14ac:dyDescent="0.2"/>
    <row r="932" ht="15" customHeight="1" x14ac:dyDescent="0.2"/>
    <row r="933" ht="15" customHeight="1" x14ac:dyDescent="0.2"/>
    <row r="934" ht="15" customHeight="1" x14ac:dyDescent="0.2"/>
    <row r="935" ht="15" customHeight="1" x14ac:dyDescent="0.2"/>
    <row r="936" ht="15" customHeight="1" x14ac:dyDescent="0.2"/>
    <row r="937" ht="15" customHeight="1" x14ac:dyDescent="0.2"/>
    <row r="938" ht="15" customHeight="1" x14ac:dyDescent="0.2"/>
    <row r="939" ht="15" customHeight="1" x14ac:dyDescent="0.2"/>
    <row r="940" ht="15" customHeight="1" x14ac:dyDescent="0.2"/>
    <row r="941" ht="15" customHeight="1" x14ac:dyDescent="0.2"/>
    <row r="942" ht="15" customHeight="1" x14ac:dyDescent="0.2"/>
    <row r="943" ht="15" customHeight="1" x14ac:dyDescent="0.2"/>
    <row r="944" ht="15" customHeight="1" x14ac:dyDescent="0.2"/>
    <row r="945" ht="15" customHeight="1" x14ac:dyDescent="0.2"/>
    <row r="946" ht="15" customHeight="1" x14ac:dyDescent="0.2"/>
    <row r="947" ht="15" customHeight="1" x14ac:dyDescent="0.2"/>
    <row r="948" ht="15" customHeight="1" x14ac:dyDescent="0.2"/>
    <row r="949" ht="15" customHeight="1" x14ac:dyDescent="0.2"/>
    <row r="950" ht="15" customHeight="1" x14ac:dyDescent="0.2"/>
    <row r="951" ht="15" customHeight="1" x14ac:dyDescent="0.2"/>
    <row r="952" ht="15" customHeight="1" x14ac:dyDescent="0.2"/>
    <row r="953" ht="15" customHeight="1" x14ac:dyDescent="0.2"/>
    <row r="954" ht="15" customHeight="1" x14ac:dyDescent="0.2"/>
    <row r="955" ht="15" customHeight="1" x14ac:dyDescent="0.2"/>
    <row r="956" ht="15" customHeight="1" x14ac:dyDescent="0.2"/>
    <row r="957" ht="15" customHeight="1" x14ac:dyDescent="0.2"/>
    <row r="958" ht="15" customHeight="1" x14ac:dyDescent="0.2"/>
    <row r="959" ht="15" customHeight="1" x14ac:dyDescent="0.2"/>
    <row r="960" ht="15" customHeight="1" x14ac:dyDescent="0.2"/>
    <row r="961" ht="15" customHeight="1" x14ac:dyDescent="0.2"/>
    <row r="962" ht="15" customHeight="1" x14ac:dyDescent="0.2"/>
    <row r="963" ht="15" customHeight="1" x14ac:dyDescent="0.2"/>
    <row r="964" ht="15" customHeight="1" x14ac:dyDescent="0.2"/>
    <row r="965" ht="15" customHeight="1" x14ac:dyDescent="0.2"/>
    <row r="966" ht="15" customHeight="1" x14ac:dyDescent="0.2"/>
    <row r="967" ht="15" customHeight="1" x14ac:dyDescent="0.2"/>
    <row r="968" ht="15" customHeight="1" x14ac:dyDescent="0.2"/>
    <row r="969" ht="15" customHeight="1" x14ac:dyDescent="0.2"/>
    <row r="970" ht="15" customHeight="1" x14ac:dyDescent="0.2"/>
    <row r="971" ht="15" customHeight="1" x14ac:dyDescent="0.2"/>
    <row r="972" ht="15" customHeight="1" x14ac:dyDescent="0.2"/>
    <row r="973" ht="15" customHeight="1" x14ac:dyDescent="0.2"/>
    <row r="974" ht="15" customHeight="1" x14ac:dyDescent="0.2"/>
    <row r="975" ht="15" customHeight="1" x14ac:dyDescent="0.2"/>
    <row r="976" ht="15" customHeight="1" x14ac:dyDescent="0.2"/>
    <row r="977" ht="15" customHeight="1" x14ac:dyDescent="0.2"/>
    <row r="978" ht="15" customHeight="1" x14ac:dyDescent="0.2"/>
    <row r="979" ht="15" customHeight="1" x14ac:dyDescent="0.2"/>
    <row r="980" ht="15" customHeight="1" x14ac:dyDescent="0.2"/>
    <row r="981" ht="15" customHeight="1" x14ac:dyDescent="0.2"/>
    <row r="982" ht="15" customHeight="1" x14ac:dyDescent="0.2"/>
    <row r="983" ht="15" customHeight="1" x14ac:dyDescent="0.2"/>
    <row r="984" ht="15" customHeight="1" x14ac:dyDescent="0.2"/>
    <row r="985" ht="15" customHeight="1" x14ac:dyDescent="0.2"/>
    <row r="986" ht="15" customHeight="1" x14ac:dyDescent="0.2"/>
    <row r="987" ht="15" customHeight="1" x14ac:dyDescent="0.2"/>
    <row r="988" ht="15" customHeight="1" x14ac:dyDescent="0.2"/>
    <row r="989" ht="15" customHeight="1" x14ac:dyDescent="0.2"/>
    <row r="990" ht="15" customHeight="1" x14ac:dyDescent="0.2"/>
    <row r="991" ht="15" customHeight="1" x14ac:dyDescent="0.2"/>
    <row r="992" ht="15" customHeight="1" x14ac:dyDescent="0.2"/>
    <row r="993" ht="15" customHeight="1" x14ac:dyDescent="0.2"/>
    <row r="994" ht="15" customHeight="1" x14ac:dyDescent="0.2"/>
    <row r="995" ht="15" customHeight="1" x14ac:dyDescent="0.2"/>
    <row r="996" ht="15" customHeight="1" x14ac:dyDescent="0.2"/>
    <row r="997" ht="15" customHeight="1" x14ac:dyDescent="0.2"/>
    <row r="998" ht="15" customHeight="1" x14ac:dyDescent="0.2"/>
    <row r="999" ht="15" customHeight="1" x14ac:dyDescent="0.2"/>
    <row r="1000" ht="15" customHeight="1" x14ac:dyDescent="0.2"/>
    <row r="1001" ht="15" customHeight="1" x14ac:dyDescent="0.2"/>
    <row r="1002" ht="15" customHeight="1" x14ac:dyDescent="0.2"/>
    <row r="1003" ht="15" customHeight="1" x14ac:dyDescent="0.2"/>
    <row r="1004" ht="15" customHeight="1" x14ac:dyDescent="0.2"/>
    <row r="1005" ht="15" customHeight="1" x14ac:dyDescent="0.2"/>
    <row r="1006" ht="15" customHeight="1" x14ac:dyDescent="0.2"/>
    <row r="1007" ht="15" customHeight="1" x14ac:dyDescent="0.2"/>
    <row r="1008" ht="15" customHeight="1" x14ac:dyDescent="0.2"/>
    <row r="1009" ht="15" customHeight="1" x14ac:dyDescent="0.2"/>
    <row r="1010" ht="15" customHeight="1" x14ac:dyDescent="0.2"/>
    <row r="1011" ht="15" customHeight="1" x14ac:dyDescent="0.2"/>
    <row r="1012" ht="15" customHeight="1" x14ac:dyDescent="0.2"/>
    <row r="1013" ht="15" customHeight="1" x14ac:dyDescent="0.2"/>
    <row r="1014" ht="15" customHeight="1" x14ac:dyDescent="0.2"/>
    <row r="1015" ht="15" customHeight="1" x14ac:dyDescent="0.2"/>
    <row r="1016" ht="15" customHeight="1" x14ac:dyDescent="0.2"/>
    <row r="1017" ht="15" customHeight="1" x14ac:dyDescent="0.2"/>
    <row r="1018" ht="15" customHeight="1" x14ac:dyDescent="0.2"/>
    <row r="1019" ht="15" customHeight="1" x14ac:dyDescent="0.2"/>
    <row r="1020" ht="15" customHeight="1" x14ac:dyDescent="0.2"/>
    <row r="1021" ht="15" customHeight="1" x14ac:dyDescent="0.2"/>
    <row r="1022" ht="15" customHeight="1" x14ac:dyDescent="0.2"/>
    <row r="1023" ht="15" customHeight="1" x14ac:dyDescent="0.2"/>
    <row r="1024" ht="15" customHeight="1" x14ac:dyDescent="0.2"/>
    <row r="1025" ht="15" customHeight="1" x14ac:dyDescent="0.2"/>
    <row r="1026" ht="15" customHeight="1" x14ac:dyDescent="0.2"/>
    <row r="1027" ht="15" customHeight="1" x14ac:dyDescent="0.2"/>
    <row r="1028" ht="15" customHeight="1" x14ac:dyDescent="0.2"/>
    <row r="1029" ht="15" customHeight="1" x14ac:dyDescent="0.2"/>
    <row r="1030" ht="15" customHeight="1" x14ac:dyDescent="0.2"/>
    <row r="1031" ht="15" customHeight="1" x14ac:dyDescent="0.2"/>
    <row r="1032" ht="15" customHeight="1" x14ac:dyDescent="0.2"/>
    <row r="1033" ht="15" customHeight="1" x14ac:dyDescent="0.2"/>
    <row r="1034" ht="15" customHeight="1" x14ac:dyDescent="0.2"/>
    <row r="1035" ht="15" customHeight="1" x14ac:dyDescent="0.2"/>
    <row r="1036" ht="15" customHeight="1" x14ac:dyDescent="0.2"/>
    <row r="1037" ht="15" customHeight="1" x14ac:dyDescent="0.2"/>
    <row r="1038" ht="15" customHeight="1" x14ac:dyDescent="0.2"/>
    <row r="1039" ht="15" customHeight="1" x14ac:dyDescent="0.2"/>
    <row r="1040" ht="15" customHeight="1" x14ac:dyDescent="0.2"/>
    <row r="1041" ht="15" customHeight="1" x14ac:dyDescent="0.2"/>
    <row r="1042" ht="15" customHeight="1" x14ac:dyDescent="0.2"/>
    <row r="1043" ht="15" customHeight="1" x14ac:dyDescent="0.2"/>
    <row r="1044" ht="15" customHeight="1" x14ac:dyDescent="0.2"/>
    <row r="1045" ht="15" customHeight="1" x14ac:dyDescent="0.2"/>
    <row r="1046" ht="15" customHeight="1" x14ac:dyDescent="0.2"/>
    <row r="1047" ht="15" customHeight="1" x14ac:dyDescent="0.2"/>
    <row r="1048" ht="15" customHeight="1" x14ac:dyDescent="0.2"/>
    <row r="1049" ht="15" customHeight="1" x14ac:dyDescent="0.2"/>
    <row r="1050" ht="15" customHeight="1" x14ac:dyDescent="0.2"/>
    <row r="1051" ht="15" customHeight="1" x14ac:dyDescent="0.2"/>
    <row r="1052" ht="15" customHeight="1" x14ac:dyDescent="0.2"/>
    <row r="1053" ht="15" customHeight="1" x14ac:dyDescent="0.2"/>
    <row r="1054" ht="15" customHeight="1" x14ac:dyDescent="0.2"/>
    <row r="1055" ht="15" customHeight="1" x14ac:dyDescent="0.2"/>
    <row r="1056" ht="15" customHeight="1" x14ac:dyDescent="0.2"/>
    <row r="1057" ht="15" customHeight="1" x14ac:dyDescent="0.2"/>
    <row r="1058" ht="15" customHeight="1" x14ac:dyDescent="0.2"/>
    <row r="1059" ht="15" customHeight="1" x14ac:dyDescent="0.2"/>
    <row r="1060" ht="15" customHeight="1" x14ac:dyDescent="0.2"/>
    <row r="1061" ht="15" customHeight="1" x14ac:dyDescent="0.2"/>
    <row r="1062" ht="15" customHeight="1" x14ac:dyDescent="0.2"/>
    <row r="1063" ht="15" customHeight="1" x14ac:dyDescent="0.2"/>
    <row r="1064" ht="15" customHeight="1" x14ac:dyDescent="0.2"/>
    <row r="1065" ht="15" customHeight="1" x14ac:dyDescent="0.2"/>
    <row r="1066" ht="15" customHeight="1" x14ac:dyDescent="0.2"/>
    <row r="1067" ht="15" customHeight="1" x14ac:dyDescent="0.2"/>
    <row r="1068" ht="15" customHeight="1" x14ac:dyDescent="0.2"/>
    <row r="1069" ht="15" customHeight="1" x14ac:dyDescent="0.2"/>
    <row r="1070" ht="15" customHeight="1" x14ac:dyDescent="0.2"/>
    <row r="1071" ht="15" customHeight="1" x14ac:dyDescent="0.2"/>
    <row r="1072" ht="15" customHeight="1" x14ac:dyDescent="0.2"/>
    <row r="1073" ht="15" customHeight="1" x14ac:dyDescent="0.2"/>
    <row r="1074" ht="15" customHeight="1" x14ac:dyDescent="0.2"/>
    <row r="1075" ht="15" customHeight="1" x14ac:dyDescent="0.2"/>
    <row r="1076" ht="15" customHeight="1" x14ac:dyDescent="0.2"/>
    <row r="1077" ht="15" customHeight="1" x14ac:dyDescent="0.2"/>
    <row r="1078" ht="15" customHeight="1" x14ac:dyDescent="0.2"/>
    <row r="1079" ht="15" customHeight="1" x14ac:dyDescent="0.2"/>
    <row r="1080" ht="15" customHeight="1" x14ac:dyDescent="0.2"/>
    <row r="1081" ht="15" customHeight="1" x14ac:dyDescent="0.2"/>
    <row r="1082" ht="15" customHeight="1" x14ac:dyDescent="0.2"/>
    <row r="1083" ht="15" customHeight="1" x14ac:dyDescent="0.2"/>
    <row r="1084" ht="15" customHeight="1" x14ac:dyDescent="0.2"/>
    <row r="1085" ht="15" customHeight="1" x14ac:dyDescent="0.2"/>
    <row r="1086" ht="15" customHeight="1" x14ac:dyDescent="0.2"/>
    <row r="1087" ht="15" customHeight="1" x14ac:dyDescent="0.2"/>
    <row r="1088" ht="15" customHeight="1" x14ac:dyDescent="0.2"/>
    <row r="1089" ht="15" customHeight="1" x14ac:dyDescent="0.2"/>
    <row r="1090" ht="15" customHeight="1" x14ac:dyDescent="0.2"/>
  </sheetData>
  <conditionalFormatting sqref="V1:V15 W36:W37 V19:V1048576">
    <cfRule type="containsText" dxfId="26" priority="7" operator="containsText" text="Retrasada">
      <formula>NOT(ISERROR(SEARCH("Retrasada",V1)))</formula>
    </cfRule>
    <cfRule type="containsText" dxfId="25" priority="8" operator="containsText" text="Completada">
      <formula>NOT(ISERROR(SEARCH("Completada",V1)))</formula>
    </cfRule>
    <cfRule type="containsText" dxfId="24" priority="9" operator="containsText" text="En curso">
      <formula>NOT(ISERROR(SEARCH("En curso",V1)))</formula>
    </cfRule>
  </conditionalFormatting>
  <conditionalFormatting sqref="V17:V18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23" priority="41" operator="containsText" text="Retrasada">
      <formula>NOT(ISERROR(SEARCH("Retrasada",V17)))</formula>
    </cfRule>
    <cfRule type="containsText" dxfId="22" priority="42" operator="containsText" text="Completada">
      <formula>NOT(ISERROR(SEARCH("Completada",V17)))</formula>
    </cfRule>
    <cfRule type="containsText" dxfId="21" priority="43" operator="containsText" text="En curso">
      <formula>NOT(ISERROR(SEARCH("En curso",V17)))</formula>
    </cfRule>
  </conditionalFormatting>
  <conditionalFormatting sqref="W36:W37 V1:V15 V19:V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operator="equal" allowBlank="1" showInputMessage="1" showErrorMessage="1" sqref="V1:V4" xr:uid="{00000000-0002-0000-0000-000000000000}">
      <formula1>0</formula1>
      <formula2>0</formula2>
    </dataValidation>
    <dataValidation type="list" operator="equal" allowBlank="1" showInputMessage="1" showErrorMessage="1" sqref="V5:V15 V17:V1086" xr:uid="{00000000-0002-0000-0000-000001000000}">
      <formula1>"Completada,En curso,Retrasada"</formula1>
      <formula2>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L100"/>
  <sheetViews>
    <sheetView topLeftCell="A48" workbookViewId="0">
      <selection activeCell="E6" sqref="E6:E88"/>
    </sheetView>
  </sheetViews>
  <sheetFormatPr baseColWidth="10" defaultColWidth="8.83203125" defaultRowHeight="15" x14ac:dyDescent="0.2"/>
  <cols>
    <col min="3" max="3" width="14.83203125" customWidth="1"/>
    <col min="4" max="4" width="45.5" customWidth="1"/>
    <col min="5" max="5" width="16.33203125" customWidth="1"/>
    <col min="8" max="8" width="11" customWidth="1"/>
  </cols>
  <sheetData>
    <row r="2" spans="3:12" ht="20" customHeight="1" x14ac:dyDescent="0.2">
      <c r="C2" s="19" t="s">
        <v>101</v>
      </c>
      <c r="D2" s="20"/>
      <c r="G2" s="14" t="s">
        <v>102</v>
      </c>
    </row>
    <row r="3" spans="3:12" ht="20" customHeight="1" x14ac:dyDescent="0.2">
      <c r="D3" s="75" t="s">
        <v>103</v>
      </c>
      <c r="E3" s="76">
        <f>SUM(E6:E88)</f>
        <v>590</v>
      </c>
      <c r="G3" t="s">
        <v>104</v>
      </c>
    </row>
    <row r="5" spans="3:12" ht="42" customHeight="1" x14ac:dyDescent="0.2">
      <c r="C5" s="77" t="s">
        <v>1</v>
      </c>
      <c r="D5" s="77" t="s">
        <v>2</v>
      </c>
      <c r="E5" s="77" t="s">
        <v>105</v>
      </c>
      <c r="F5" s="9"/>
      <c r="G5" s="9"/>
      <c r="H5" s="9"/>
      <c r="I5" s="10"/>
      <c r="J5" s="10"/>
      <c r="K5" s="10"/>
      <c r="L5" s="10"/>
    </row>
    <row r="6" spans="3:12" ht="20" customHeight="1" x14ac:dyDescent="0.2">
      <c r="C6" s="78" t="str">
        <f>IF(ISBLANK(Plan!B5),"",Plan!B5)</f>
        <v>Lanzamiento</v>
      </c>
      <c r="D6" s="78" t="str">
        <f>IF(ISBLANK(Plan!C5),"",Plan!C5)</f>
        <v>Asignar equipos y roles</v>
      </c>
      <c r="E6" s="79">
        <f>IF(ISBLANK(Plan!B5),"",IF(Plan!M5&gt;0,Plan!M5,""))</f>
        <v>10</v>
      </c>
    </row>
    <row r="7" spans="3:12" ht="20" customHeight="1" x14ac:dyDescent="0.2">
      <c r="C7" s="78" t="str">
        <f>IF(ISBLANK(Plan!B6),"",Plan!B6)</f>
        <v>Lanzamiento</v>
      </c>
      <c r="D7" s="78" t="str">
        <f>IF(ISBLANK(Plan!C6),"",Plan!C6)</f>
        <v>Definir proceso de reuniones</v>
      </c>
      <c r="E7" s="79">
        <f>IF(ISBLANK(Plan!B6),"",IF(Plan!M6&gt;0,Plan!M6,""))</f>
        <v>20</v>
      </c>
    </row>
    <row r="8" spans="3:12" ht="20" customHeight="1" x14ac:dyDescent="0.2">
      <c r="C8" s="78" t="str">
        <f>IF(ISBLANK(Plan!B7),"",Plan!B7)</f>
        <v>Lanzamiento</v>
      </c>
      <c r="D8" s="78" t="str">
        <f>IF(ISBLANK(Plan!C7),"",Plan!C7)</f>
        <v>Realizar Estándar de Documentación</v>
      </c>
      <c r="E8" s="79" t="str">
        <f>IF(ISBLANK(Plan!B7),"",IF(Plan!M7&gt;0,Plan!M7,""))</f>
        <v/>
      </c>
    </row>
    <row r="9" spans="3:12" ht="20" customHeight="1" x14ac:dyDescent="0.2">
      <c r="C9" s="78" t="str">
        <f>IF(ISBLANK(Plan!B8),"",Plan!B8)</f>
        <v>Lanzamiento</v>
      </c>
      <c r="D9" s="78" t="str">
        <f>IF(ISBLANK(Plan!C8),"",Plan!C8)</f>
        <v>Realizar Estándar de Agendas</v>
      </c>
      <c r="E9" s="79">
        <f>IF(ISBLANK(Plan!B8),"",IF(Plan!M8&gt;0,Plan!M8,""))</f>
        <v>20</v>
      </c>
    </row>
    <row r="10" spans="3:12" ht="20" customHeight="1" x14ac:dyDescent="0.2">
      <c r="C10" s="78" t="str">
        <f>IF(ISBLANK(Plan!B9),"",Plan!B9)</f>
        <v>Lanzamiento</v>
      </c>
      <c r="D10" s="78" t="str">
        <f>IF(ISBLANK(Plan!C9),"",Plan!C9)</f>
        <v>Realizar Estándar de Actas</v>
      </c>
      <c r="E10" s="79">
        <f>IF(ISBLANK(Plan!B9),"",IF(Plan!M9&gt;0,Plan!M9,""))</f>
        <v>20</v>
      </c>
    </row>
    <row r="11" spans="3:12" ht="20" customHeight="1" x14ac:dyDescent="0.2">
      <c r="C11" s="78" t="str">
        <f>IF(ISBLANK(Plan!B10),"",Plan!B10)</f>
        <v>Lanzamiento</v>
      </c>
      <c r="D11" s="78" t="str">
        <f>IF(ISBLANK(Plan!C10),"",Plan!C10)</f>
        <v>Definir Ciclo de Vida a aplicar (actividades)</v>
      </c>
      <c r="E11" s="79">
        <f>IF(ISBLANK(Plan!B10),"",IF(Plan!M10&gt;0,Plan!M10,""))</f>
        <v>15</v>
      </c>
    </row>
    <row r="12" spans="3:12" ht="20" customHeight="1" x14ac:dyDescent="0.2">
      <c r="C12" s="78" t="str">
        <f>IF(ISBLANK(Plan!B11),"",Plan!B11)</f>
        <v>Lanzamiento</v>
      </c>
      <c r="D12" s="78" t="str">
        <f>IF(ISBLANK(Plan!C11),"",Plan!C11)</f>
        <v>Definir outputs y plantillas del CV</v>
      </c>
      <c r="E12" s="79">
        <f>IF(ISBLANK(Plan!B11),"",IF(Plan!M11&gt;0,Plan!M11,""))</f>
        <v>20</v>
      </c>
    </row>
    <row r="13" spans="3:12" ht="20" customHeight="1" x14ac:dyDescent="0.2">
      <c r="C13" s="78" t="str">
        <f>IF(ISBLANK(Plan!B12),"",Plan!B12)</f>
        <v>Lanzamiento</v>
      </c>
      <c r="D13" s="78" t="str">
        <f>IF(ISBLANK(Plan!C12),"",Plan!C12)</f>
        <v>Definir Entorno de Desarrollo</v>
      </c>
      <c r="E13" s="79">
        <f>IF(ISBLANK(Plan!B12),"",IF(Plan!M12&gt;0,Plan!M12,""))</f>
        <v>20</v>
      </c>
    </row>
    <row r="14" spans="3:12" ht="20" customHeight="1" x14ac:dyDescent="0.2">
      <c r="C14" s="78" t="str">
        <f>IF(ISBLANK(Plan!B13),"",Plan!B13)</f>
        <v>Lanzamiento</v>
      </c>
      <c r="D14" s="78" t="str">
        <f>IF(ISBLANK(Plan!C13),"",Plan!C13)</f>
        <v>Configurar Entorno de Desarrollo</v>
      </c>
      <c r="E14" s="79">
        <f>IF(ISBLANK(Plan!B13),"",IF(Plan!M13&gt;0,Plan!M13,""))</f>
        <v>150</v>
      </c>
    </row>
    <row r="15" spans="3:12" ht="20" customHeight="1" x14ac:dyDescent="0.2">
      <c r="C15" s="78" t="str">
        <f>IF(ISBLANK(Plan!B14),"",Plan!B14)</f>
        <v>Lanzamiento</v>
      </c>
      <c r="D15" s="78" t="str">
        <f>IF(ISBLANK(Plan!C14),"",Plan!C14)</f>
        <v>Definir Estándar de Codificación</v>
      </c>
      <c r="E15" s="79">
        <f>IF(ISBLANK(Plan!B14),"",IF(Plan!M14&gt;0,Plan!M14,""))</f>
        <v>15</v>
      </c>
    </row>
    <row r="16" spans="3:12" ht="20" customHeight="1" x14ac:dyDescent="0.2">
      <c r="C16" s="78"/>
      <c r="D16" s="78"/>
      <c r="E16" s="79">
        <f>IF(ISBLANK(Plan!B15),"",IF(Plan!M15&gt;0,Plan!M15,""))</f>
        <v>5</v>
      </c>
    </row>
    <row r="17" spans="3:5" ht="20" customHeight="1" x14ac:dyDescent="0.2">
      <c r="C17" s="78"/>
      <c r="D17" s="78"/>
      <c r="E17" s="79" t="str">
        <f>IF(ISBLANK(Plan!B16),"",IF(Plan!M16&gt;0,Plan!M16,""))</f>
        <v/>
      </c>
    </row>
    <row r="18" spans="3:5" ht="20" customHeight="1" x14ac:dyDescent="0.2">
      <c r="C18" s="78" t="str">
        <f>IF(ISBLANK(Plan!B15),"",Plan!B15)</f>
        <v>Lanzamiento</v>
      </c>
      <c r="D18" s="78" t="str">
        <f>IF(ISBLANK(Plan!C15),"",Plan!C15)</f>
        <v>Introducir datos de Planificación/Monitorización S1 (esfuerzo real / semana)</v>
      </c>
      <c r="E18" s="79" t="str">
        <f>IF(ISBLANK(Plan!B17),"",IF(Plan!M17&gt;0,Plan!M17,""))</f>
        <v/>
      </c>
    </row>
    <row r="19" spans="3:5" ht="20" customHeight="1" x14ac:dyDescent="0.2">
      <c r="C19" s="78" t="str">
        <f>IF(ISBLANK(Plan!B16),"",Plan!B16)</f>
        <v/>
      </c>
      <c r="D19" s="78" t="str">
        <f>IF(ISBLANK(Plan!C16),"",Plan!C16)</f>
        <v/>
      </c>
      <c r="E19" s="79" t="str">
        <f>IF(ISBLANK(Plan!B18),"",IF(Plan!M18&gt;0,Plan!M18,""))</f>
        <v/>
      </c>
    </row>
    <row r="20" spans="3:5" ht="20" customHeight="1" x14ac:dyDescent="0.2">
      <c r="C20" s="78" t="str">
        <f>IF(ISBLANK(Plan!B17),"",Plan!B17)</f>
        <v/>
      </c>
      <c r="D20" s="78" t="str">
        <f>IF(ISBLANK(Plan!C17),"",Plan!C17)</f>
        <v/>
      </c>
      <c r="E20" s="79">
        <f>IF(ISBLANK(Plan!B19),"",IF(Plan!M19&gt;0,Plan!M19,""))</f>
        <v>30</v>
      </c>
    </row>
    <row r="21" spans="3:5" ht="20" customHeight="1" x14ac:dyDescent="0.2">
      <c r="C21" s="78" t="str">
        <f>IF(ISBLANK(Plan!B18),"",Plan!B18)</f>
        <v/>
      </c>
      <c r="D21" s="78" t="str">
        <f>IF(ISBLANK(Plan!C18),"",Plan!C18)</f>
        <v/>
      </c>
      <c r="E21" s="79">
        <f>IF(ISBLANK(Plan!B20),"",IF(Plan!M20&gt;0,Plan!M20,""))</f>
        <v>5</v>
      </c>
    </row>
    <row r="22" spans="3:5" ht="20" customHeight="1" x14ac:dyDescent="0.2">
      <c r="C22" s="78" t="str">
        <f>IF(ISBLANK(Plan!B19),"",Plan!B19)</f>
        <v>Requisitos</v>
      </c>
      <c r="D22" s="78" t="str">
        <f>IF(ISBLANK(Plan!C19),"",Plan!C19)</f>
        <v>Obtener Historias de Usuario (US)</v>
      </c>
      <c r="E22" s="79" t="str">
        <f>IF(ISBLANK(Plan!B21),"",IF(Plan!M21&gt;0,Plan!M21,""))</f>
        <v/>
      </c>
    </row>
    <row r="23" spans="3:5" ht="20" customHeight="1" x14ac:dyDescent="0.2">
      <c r="C23" s="78" t="str">
        <f>IF(ISBLANK(Plan!B20),"",Plan!B20)</f>
        <v>Requisitos</v>
      </c>
      <c r="D23" s="78" t="str">
        <f>IF(ISBLANK(Plan!C20),"",Plan!C20)</f>
        <v>Describir las US según plantilla (Como/Quiero/Para + criterios de aceptación)</v>
      </c>
      <c r="E23" s="79">
        <f>IF(ISBLANK(Plan!B22),"",IF(Plan!M22&gt;0,Plan!M22,""))</f>
        <v>10</v>
      </c>
    </row>
    <row r="24" spans="3:5" ht="20" customHeight="1" x14ac:dyDescent="0.2">
      <c r="C24" s="78" t="str">
        <f>IF(ISBLANK(Plan!B21),"",Plan!B21)</f>
        <v>Requisitos</v>
      </c>
      <c r="D24" s="78" t="str">
        <f>IF(ISBLANK(Plan!C21),"",Plan!C21)</f>
        <v>Completar campos de US para puntos de función</v>
      </c>
      <c r="E24" s="79">
        <f>IF(ISBLANK(Plan!B23),"",IF(Plan!M23&gt;0,Plan!M23,""))</f>
        <v>60</v>
      </c>
    </row>
    <row r="25" spans="3:5" ht="20" customHeight="1" x14ac:dyDescent="0.2">
      <c r="C25" s="78" t="str">
        <f>IF(ISBLANK(Plan!B22),"",Plan!B22)</f>
        <v>Requisitos</v>
      </c>
      <c r="D25" s="78" t="str">
        <f>IF(ISBLANK(Plan!C22),"",Plan!C22)</f>
        <v>Elaborar Product Backlog priorizado</v>
      </c>
      <c r="E25" s="79">
        <f>IF(ISBLANK(Plan!B24),"",IF(Plan!M24&gt;0,Plan!M24,""))</f>
        <v>5</v>
      </c>
    </row>
    <row r="26" spans="3:5" ht="20" customHeight="1" x14ac:dyDescent="0.2">
      <c r="C26" s="78" t="str">
        <f>IF(ISBLANK(Plan!B23),"",Plan!B23)</f>
        <v>Requisitos</v>
      </c>
      <c r="D26" s="78" t="str">
        <f>IF(ISBLANK(Plan!C23),"",Plan!C23)</f>
        <v>Inspeccionar las US y criterios de aceptacion (Q)</v>
      </c>
      <c r="E26" s="79" t="str">
        <f>IF(ISBLANK(Plan!B25),"",IF(Plan!M25&gt;0,Plan!M25,""))</f>
        <v/>
      </c>
    </row>
    <row r="27" spans="3:5" ht="20" customHeight="1" x14ac:dyDescent="0.2">
      <c r="C27" s="78" t="str">
        <f>IF(ISBLANK(Plan!B24),"",Plan!B24)</f>
        <v>Requisitos</v>
      </c>
      <c r="D27" s="78" t="str">
        <f>IF(ISBLANK(Plan!C24),"",Plan!C24)</f>
        <v>Poner en línea base las US (GCS)</v>
      </c>
      <c r="E27" s="79" t="str">
        <f>IF(ISBLANK(Plan!B26),"",IF(Plan!M26&gt;0,Plan!M26,""))</f>
        <v/>
      </c>
    </row>
    <row r="28" spans="3:5" ht="20" customHeight="1" x14ac:dyDescent="0.2">
      <c r="C28" s="78" t="str">
        <f>IF(ISBLANK(Plan!B25),"",Plan!B25)</f>
        <v>Requisitos</v>
      </c>
      <c r="D28" s="78" t="str">
        <f>IF(ISBLANK(Plan!C25),"",Plan!C25)</f>
        <v>Introducir datos de Planificación/Monitorización(esfuerzo real / semana) S3</v>
      </c>
      <c r="E28" s="79" t="str">
        <f>IF(ISBLANK(Plan!B27),"",IF(Plan!M27&gt;0,Plan!M27,""))</f>
        <v/>
      </c>
    </row>
    <row r="29" spans="3:5" ht="20" customHeight="1" x14ac:dyDescent="0.2">
      <c r="C29" s="78" t="str">
        <f>IF(ISBLANK(Plan!B26),"",Plan!B26)</f>
        <v>Requisitos</v>
      </c>
      <c r="D29" s="78" t="str">
        <f>IF(ISBLANK(Plan!C26),"",Plan!C26)</f>
        <v>Registrar datos de calidad S3</v>
      </c>
      <c r="E29" s="79" t="str">
        <f>IF(ISBLANK(Plan!B28),"",IF(Plan!M28&gt;0,Plan!M28,""))</f>
        <v/>
      </c>
    </row>
    <row r="30" spans="3:5" ht="20" customHeight="1" x14ac:dyDescent="0.2">
      <c r="C30" s="78" t="str">
        <f>IF(ISBLANK(Plan!B27),"",Plan!B27)</f>
        <v/>
      </c>
      <c r="D30" s="78" t="str">
        <f>IF(ISBLANK(Plan!C27),"",Plan!C27)</f>
        <v/>
      </c>
      <c r="E30" s="79" t="str">
        <f>IF(ISBLANK(Plan!B29),"",IF(Plan!M29&gt;0,Plan!M29,""))</f>
        <v/>
      </c>
    </row>
    <row r="31" spans="3:5" ht="20" customHeight="1" x14ac:dyDescent="0.2">
      <c r="C31" s="78" t="str">
        <f>IF(ISBLANK(Plan!B28),"",Plan!B28)</f>
        <v/>
      </c>
      <c r="D31" s="78" t="str">
        <f>IF(ISBLANK(Plan!C28),"",Plan!C28)</f>
        <v/>
      </c>
      <c r="E31" s="79" t="str">
        <f>IF(ISBLANK(Plan!B30),"",IF(Plan!M30&gt;0,Plan!M30,""))</f>
        <v/>
      </c>
    </row>
    <row r="32" spans="3:5" ht="20" customHeight="1" x14ac:dyDescent="0.2">
      <c r="C32" s="78" t="str">
        <f>IF(ISBLANK(Plan!B29),"",Plan!B29)</f>
        <v/>
      </c>
      <c r="D32" s="78" t="str">
        <f>IF(ISBLANK(Plan!C29),"",Plan!C29)</f>
        <v/>
      </c>
      <c r="E32" s="79">
        <f>IF(ISBLANK(Plan!B31),"",IF(Plan!M31&gt;0,Plan!M31,""))</f>
        <v>10</v>
      </c>
    </row>
    <row r="33" spans="3:5" ht="20" customHeight="1" x14ac:dyDescent="0.2">
      <c r="C33" s="78" t="str">
        <f>IF(ISBLANK(Plan!B30),"",Plan!B30)</f>
        <v/>
      </c>
      <c r="D33" s="78" t="str">
        <f>IF(ISBLANK(Plan!C30),"",Plan!C30)</f>
        <v/>
      </c>
      <c r="E33" s="79" t="str">
        <f>IF(ISBLANK(Plan!B32),"",IF(Plan!M32&gt;0,Plan!M32,""))</f>
        <v/>
      </c>
    </row>
    <row r="34" spans="3:5" ht="20" customHeight="1" x14ac:dyDescent="0.2">
      <c r="C34" s="78" t="str">
        <f>IF(ISBLANK(Plan!B31),"",Plan!B31)</f>
        <v>Estrategia</v>
      </c>
      <c r="D34" s="78" t="str">
        <f>IF(ISBLANK(Plan!C31),"",Plan!C31)</f>
        <v>Estimar Puntos de Función sobre las US</v>
      </c>
      <c r="E34" s="79">
        <f>IF(ISBLANK(Plan!B33),"",IF(Plan!M33&gt;0,Plan!M33,""))</f>
        <v>10</v>
      </c>
    </row>
    <row r="35" spans="3:5" ht="20" customHeight="1" x14ac:dyDescent="0.2">
      <c r="C35" s="78" t="str">
        <f>IF(ISBLANK(Plan!B32),"",Plan!B32)</f>
        <v>Estrategia</v>
      </c>
      <c r="D35" s="78" t="str">
        <f>IF(ISBLANK(Plan!C32),"",Plan!C32)</f>
        <v>Calcular esfuerzo (horas)</v>
      </c>
      <c r="E35" s="79">
        <f>IF(ISBLANK(Plan!B34),"",IF(Plan!M34&gt;0,Plan!M34,""))</f>
        <v>60</v>
      </c>
    </row>
    <row r="36" spans="3:5" ht="20" customHeight="1" x14ac:dyDescent="0.2">
      <c r="C36" s="78" t="str">
        <f>IF(ISBLANK(Plan!B33),"",Plan!B33)</f>
        <v>Estrategia</v>
      </c>
      <c r="D36" s="78" t="str">
        <f>IF(ISBLANK(Plan!C33),"",Plan!C33)</f>
        <v>Establecer estrategia de desarrollo (US Sprint 1 y Sprint 2)</v>
      </c>
      <c r="E36" s="79">
        <f>IF(ISBLANK(Plan!B35),"",IF(Plan!M35&gt;0,Plan!M35,""))</f>
        <v>15</v>
      </c>
    </row>
    <row r="37" spans="3:5" ht="20" customHeight="1" x14ac:dyDescent="0.2">
      <c r="C37" s="78" t="str">
        <f>IF(ISBLANK(Plan!B34),"",Plan!B34)</f>
        <v>Estrategia</v>
      </c>
      <c r="D37" s="78" t="str">
        <f>IF(ISBLANK(Plan!C34),"",Plan!C34)</f>
        <v>Elaborar documento de Estrategia</v>
      </c>
      <c r="E37" s="79" t="str">
        <f>IF(ISBLANK(Plan!B36),"",IF(Plan!M36&gt;0,Plan!M36,""))</f>
        <v/>
      </c>
    </row>
    <row r="38" spans="3:5" ht="20" customHeight="1" x14ac:dyDescent="0.2">
      <c r="C38" s="78" t="str">
        <f>IF(ISBLANK(Plan!B35),"",Plan!B35)</f>
        <v>Estrategia</v>
      </c>
      <c r="D38" s="78" t="str">
        <f>IF(ISBLANK(Plan!C35),"",Plan!C35)</f>
        <v>Elaborar Sprint Backlog con Sprint Goal y tareas de calidad</v>
      </c>
      <c r="E38" s="79">
        <f>IF(ISBLANK(Plan!B37),"",IF(Plan!M37&gt;0,Plan!M37,""))</f>
        <v>15</v>
      </c>
    </row>
    <row r="39" spans="3:5" ht="20" customHeight="1" x14ac:dyDescent="0.2">
      <c r="C39" s="78" t="str">
        <f>IF(ISBLANK(Plan!B36),"",Plan!B36)</f>
        <v>Estrategia</v>
      </c>
      <c r="D39" s="78" t="str">
        <f>IF(ISBLANK(Plan!C36),"",Plan!C36)</f>
        <v>Inspeccionar outputs de Estrategia (Q)</v>
      </c>
      <c r="E39" s="79" t="str">
        <f>IF(ISBLANK(Plan!B38),"",IF(Plan!M38&gt;0,Plan!M38,""))</f>
        <v/>
      </c>
    </row>
    <row r="40" spans="3:5" ht="20" customHeight="1" x14ac:dyDescent="0.2">
      <c r="C40" s="78" t="str">
        <f>IF(ISBLANK(Plan!B37),"",Plan!B37)</f>
        <v>Estrategia</v>
      </c>
      <c r="D40" s="78" t="str">
        <f>IF(ISBLANK(Plan!C37),"",Plan!C37)</f>
        <v>Poner en línea base Estrategia y Sprint Backlog (GCS)</v>
      </c>
      <c r="E40" s="79">
        <f>IF(ISBLANK(Plan!B39),"",IF(Plan!M39&gt;0,Plan!M39,""))</f>
        <v>5</v>
      </c>
    </row>
    <row r="41" spans="3:5" ht="20" customHeight="1" x14ac:dyDescent="0.2">
      <c r="C41" s="78" t="str">
        <f>IF(ISBLANK(Plan!B38),"",Plan!B38)</f>
        <v>Estrategia</v>
      </c>
      <c r="D41" s="78" t="str">
        <f>IF(ISBLANK(Plan!C38),"",Plan!C38)</f>
        <v>Introducir datos de Planificación/Monitorización S4 (esfuerzo real / semana)</v>
      </c>
      <c r="E41" s="79" t="str">
        <f>IF(ISBLANK(Plan!B40),"",IF(Plan!M40&gt;0,Plan!M40,""))</f>
        <v/>
      </c>
    </row>
    <row r="42" spans="3:5" ht="20" customHeight="1" x14ac:dyDescent="0.2">
      <c r="C42" s="78" t="str">
        <f>IF(ISBLANK(Plan!B39),"",Plan!B39)</f>
        <v>Estrategia</v>
      </c>
      <c r="D42" s="78" t="str">
        <f>IF(ISBLANK(Plan!C39),"",Plan!C39)</f>
        <v>Registrar datos de calidad S4</v>
      </c>
      <c r="E42" s="79" t="str">
        <f>IF(ISBLANK(Plan!B41),"",IF(Plan!M41&gt;0,Plan!M41,""))</f>
        <v/>
      </c>
    </row>
    <row r="43" spans="3:5" ht="20" customHeight="1" x14ac:dyDescent="0.2">
      <c r="C43" s="78" t="str">
        <f>IF(ISBLANK(Plan!B40),"",Plan!B40)</f>
        <v/>
      </c>
      <c r="D43" s="78" t="str">
        <f>IF(ISBLANK(Plan!C40),"",Plan!C40)</f>
        <v/>
      </c>
      <c r="E43" s="79" t="str">
        <f>IF(ISBLANK(Plan!B42),"",IF(Plan!M42&gt;0,Plan!M42,""))</f>
        <v/>
      </c>
    </row>
    <row r="44" spans="3:5" ht="20" customHeight="1" x14ac:dyDescent="0.2">
      <c r="C44" s="78" t="str">
        <f>IF(ISBLANK(Plan!B41),"",Plan!B41)</f>
        <v/>
      </c>
      <c r="D44" s="78" t="str">
        <f>IF(ISBLANK(Plan!C41),"",Plan!C41)</f>
        <v/>
      </c>
      <c r="E44" s="79">
        <f>IF(ISBLANK(Plan!B43),"",IF(Plan!M43&gt;0,Plan!M43,""))</f>
        <v>5</v>
      </c>
    </row>
    <row r="45" spans="3:5" ht="20" customHeight="1" x14ac:dyDescent="0.2">
      <c r="C45" s="78" t="str">
        <f>IF(ISBLANK(Plan!B42),"",Plan!B42)</f>
        <v/>
      </c>
      <c r="D45" s="78" t="str">
        <f>IF(ISBLANK(Plan!C42),"",Plan!C42)</f>
        <v/>
      </c>
      <c r="E45" s="79" t="str">
        <f>IF(ISBLANK(Plan!B44),"",IF(Plan!M44&gt;0,Plan!M44,""))</f>
        <v/>
      </c>
    </row>
    <row r="46" spans="3:5" ht="20" customHeight="1" x14ac:dyDescent="0.2">
      <c r="C46" s="78" t="str">
        <f>IF(ISBLANK(Plan!B43),"",Plan!B43)</f>
        <v>Planificación</v>
      </c>
      <c r="D46" s="78" t="str">
        <f>IF(ISBLANK(Plan!C43),"",Plan!C43)</f>
        <v>Realizar Plan de Gestión de Configuración (PGCS)</v>
      </c>
      <c r="E46" s="79" t="str">
        <f>IF(ISBLANK(Plan!B45),"",IF(Plan!M45&gt;0,Plan!M45,""))</f>
        <v/>
      </c>
    </row>
    <row r="47" spans="3:5" ht="20" customHeight="1" x14ac:dyDescent="0.2">
      <c r="C47" s="78" t="str">
        <f>IF(ISBLANK(Plan!B44),"",Plan!B44)</f>
        <v>Planificación</v>
      </c>
      <c r="D47" s="78" t="str">
        <f>IF(ISBLANK(Plan!C44),"",Plan!C44)</f>
        <v>Realizar Plan de Calidad, DoD y matriz de evidencias</v>
      </c>
      <c r="E47" s="79">
        <f>IF(ISBLANK(Plan!B46),"",IF(Plan!M46&gt;0,Plan!M46,""))</f>
        <v>10</v>
      </c>
    </row>
    <row r="48" spans="3:5" ht="20" customHeight="1" x14ac:dyDescent="0.2">
      <c r="C48" s="78" t="str">
        <f>IF(ISBLANK(Plan!B45),"",Plan!B45)</f>
        <v>Planificación</v>
      </c>
      <c r="D48" s="78" t="str">
        <f>IF(ISBLANK(Plan!C45),"",Plan!C45)</f>
        <v>Realizar Plan de Proyecto del Sprint 1</v>
      </c>
      <c r="E48" s="79" t="str">
        <f>IF(ISBLANK(Plan!B47),"",IF(Plan!M47&gt;0,Plan!M47,""))</f>
        <v/>
      </c>
    </row>
    <row r="49" spans="3:5" ht="20" customHeight="1" x14ac:dyDescent="0.2">
      <c r="C49" s="78" t="str">
        <f>IF(ISBLANK(Plan!B46),"",Plan!B46)</f>
        <v>Planificación</v>
      </c>
      <c r="D49" s="78" t="str">
        <f>IF(ISBLANK(Plan!C46),"",Plan!C46)</f>
        <v>Realizar Diagrama de Gantt del Sprint 1</v>
      </c>
      <c r="E49" s="79">
        <f>IF(ISBLANK(Plan!B48),"",IF(Plan!M48&gt;0,Plan!M48,""))</f>
        <v>5</v>
      </c>
    </row>
    <row r="50" spans="3:5" ht="20" customHeight="1" x14ac:dyDescent="0.2">
      <c r="C50" s="78" t="e">
        <f>IF(ISBLANK(Plan!#REF!),"",Plan!#REF!)</f>
        <v>#REF!</v>
      </c>
      <c r="D50" s="78" t="e">
        <f>IF(ISBLANK(Plan!#REF!),"",Plan!#REF!)</f>
        <v>#REF!</v>
      </c>
      <c r="E50" s="79">
        <f>IF(ISBLANK(Plan!B49),"",IF(Plan!M49&gt;0,Plan!M49,""))</f>
        <v>30</v>
      </c>
    </row>
    <row r="51" spans="3:5" ht="20" customHeight="1" x14ac:dyDescent="0.2">
      <c r="C51" s="78" t="str">
        <f>IF(ISBLANK(Plan!B47),"",Plan!B47)</f>
        <v>Planificación</v>
      </c>
      <c r="D51" s="78" t="str">
        <f>IF(ISBLANK(Plan!C47),"",Plan!C47)</f>
        <v>Inspeccionar planes (Q) y poner en línea base (GCS)</v>
      </c>
      <c r="E51" s="79" t="str">
        <f>IF(ISBLANK(Plan!B50),"",IF(Plan!M50&gt;0,Plan!M50,""))</f>
        <v/>
      </c>
    </row>
    <row r="52" spans="3:5" ht="20" customHeight="1" x14ac:dyDescent="0.2">
      <c r="C52" s="78" t="str">
        <f>IF(ISBLANK(Plan!B48),"",Plan!B48)</f>
        <v>Planificación</v>
      </c>
      <c r="D52" s="78" t="str">
        <f>IF(ISBLANK(Plan!C48),"",Plan!C48)</f>
        <v>Introducir datos de Planificación/Monitorización S5 (esfuerzo real / semana)</v>
      </c>
      <c r="E52" s="79" t="str">
        <f>IF(ISBLANK(Plan!B51),"",IF(Plan!M51&gt;0,Plan!M51,""))</f>
        <v/>
      </c>
    </row>
    <row r="53" spans="3:5" ht="20" customHeight="1" x14ac:dyDescent="0.2">
      <c r="C53" s="78" t="str">
        <f>IF(ISBLANK(Plan!B49),"",Plan!B49)</f>
        <v>Planificación</v>
      </c>
      <c r="D53" s="78" t="str">
        <f>IF(ISBLANK(Plan!C49),"",Plan!C49)</f>
        <v>Registrar datos de calidad S5: revisiones, pruebas y defectos</v>
      </c>
      <c r="E53" s="79">
        <f>IF(ISBLANK(Plan!B52),"",IF(Plan!M52&gt;0,Plan!M52,""))</f>
        <v>5</v>
      </c>
    </row>
    <row r="54" spans="3:5" ht="20" customHeight="1" x14ac:dyDescent="0.2">
      <c r="C54" s="78" t="str">
        <f>IF(ISBLANK(Plan!B50),"",Plan!B50)</f>
        <v/>
      </c>
      <c r="D54" s="78" t="str">
        <f>IF(ISBLANK(Plan!C50),"",Plan!C50)</f>
        <v/>
      </c>
      <c r="E54" s="79" t="str">
        <f>IF(ISBLANK(Plan!B53),"",IF(Plan!M53&gt;0,Plan!M53,""))</f>
        <v/>
      </c>
    </row>
    <row r="55" spans="3:5" ht="20" customHeight="1" x14ac:dyDescent="0.2">
      <c r="C55" s="78" t="str">
        <f>IF(ISBLANK(Plan!B51),"",Plan!B51)</f>
        <v/>
      </c>
      <c r="D55" s="78" t="str">
        <f>IF(ISBLANK(Plan!C51),"",Plan!C51)</f>
        <v/>
      </c>
      <c r="E55" s="79" t="str">
        <f>IF(ISBLANK(Plan!B54),"",IF(Plan!M54&gt;0,Plan!M54,""))</f>
        <v/>
      </c>
    </row>
    <row r="56" spans="3:5" ht="20" customHeight="1" x14ac:dyDescent="0.2">
      <c r="C56" s="78" t="str">
        <f>IF(ISBLANK(Plan!B52),"",Plan!B52)</f>
        <v>Diseño</v>
      </c>
      <c r="D56" s="78" t="str">
        <f>IF(ISBLANK(Plan!C52),"",Plan!C52)</f>
        <v>Realizar diagramas de Casos de Uso</v>
      </c>
      <c r="E56" s="79">
        <f>IF(ISBLANK(Plan!B55),"",IF(Plan!M55&gt;0,Plan!M55,""))</f>
        <v>5</v>
      </c>
    </row>
    <row r="57" spans="3:5" ht="20" customHeight="1" x14ac:dyDescent="0.2">
      <c r="C57" s="78" t="str">
        <f>IF(ISBLANK(Plan!B53),"",Plan!B53)</f>
        <v>Diseño</v>
      </c>
      <c r="D57" s="78" t="str">
        <f>IF(ISBLANK(Plan!C53),"",Plan!C53)</f>
        <v>Realizar modelo Entidad/Relación y BBDD</v>
      </c>
      <c r="E57" s="79">
        <f>IF(ISBLANK(Plan!B56),"",IF(Plan!M56&gt;0,Plan!M56,""))</f>
        <v>10</v>
      </c>
    </row>
    <row r="58" spans="3:5" ht="20" customHeight="1" x14ac:dyDescent="0.2">
      <c r="C58" s="78" t="str">
        <f>IF(ISBLANK(Plan!B54),"",Plan!B54)</f>
        <v>Diseño</v>
      </c>
      <c r="D58" s="78" t="str">
        <f>IF(ISBLANK(Plan!C54),"",Plan!C54)</f>
        <v>Diseñar pantallas</v>
      </c>
      <c r="E58" s="79" t="str">
        <f>IF(ISBLANK(Plan!B57),"",IF(Plan!M57&gt;0,Plan!M57,""))</f>
        <v/>
      </c>
    </row>
    <row r="59" spans="3:5" ht="20" customHeight="1" x14ac:dyDescent="0.2">
      <c r="C59" s="78" t="str">
        <f>IF(ISBLANK(Plan!B55),"",Plan!B55)</f>
        <v>Diseño</v>
      </c>
      <c r="D59" s="78" t="str">
        <f>IF(ISBLANK(Plan!C55),"",Plan!C55)</f>
        <v>Inspeccionar diseño (Q) y poner en línea base (GCS)</v>
      </c>
      <c r="E59" s="79" t="str">
        <f>IF(ISBLANK(Plan!B58),"",IF(Plan!M58&gt;0,Plan!M58,""))</f>
        <v/>
      </c>
    </row>
    <row r="60" spans="3:5" ht="20" customHeight="1" x14ac:dyDescent="0.2">
      <c r="C60" s="78" t="str">
        <f>IF(ISBLANK(Plan!B56),"",Plan!B56)</f>
        <v>Diseño</v>
      </c>
      <c r="D60" s="78" t="str">
        <f>IF(ISBLANK(Plan!C56),"",Plan!C56)</f>
        <v>Introducir datos de Planificación/Monitorización S6 (esfuerzo real / semana, US)</v>
      </c>
      <c r="E60" s="79" t="str">
        <f>IF(ISBLANK(Plan!B59),"",IF(Plan!M59&gt;0,Plan!M59,""))</f>
        <v/>
      </c>
    </row>
    <row r="61" spans="3:5" ht="20" customHeight="1" x14ac:dyDescent="0.2">
      <c r="C61" s="78" t="str">
        <f>IF(ISBLANK(Plan!B57),"",Plan!B57)</f>
        <v/>
      </c>
      <c r="D61" s="78" t="str">
        <f>IF(ISBLANK(Plan!C57),"",Plan!C57)</f>
        <v/>
      </c>
      <c r="E61" s="79" t="str">
        <f>IF(ISBLANK(Plan!B60),"",IF(Plan!M60&gt;0,Plan!M60,""))</f>
        <v/>
      </c>
    </row>
    <row r="62" spans="3:5" ht="20" customHeight="1" x14ac:dyDescent="0.2">
      <c r="C62" s="78" t="str">
        <f>IF(ISBLANK(Plan!B58),"",Plan!B58)</f>
        <v/>
      </c>
      <c r="D62" s="78" t="str">
        <f>IF(ISBLANK(Plan!C58),"",Plan!C58)</f>
        <v/>
      </c>
      <c r="E62" s="79" t="str">
        <f>IF(ISBLANK(Plan!B61),"",IF(Plan!M61&gt;0,Plan!M61,""))</f>
        <v/>
      </c>
    </row>
    <row r="63" spans="3:5" ht="20" customHeight="1" x14ac:dyDescent="0.2">
      <c r="C63" s="78" t="str">
        <f>IF(ISBLANK(Plan!B59),"",Plan!B59)</f>
        <v>Implementación</v>
      </c>
      <c r="D63" s="78" t="str">
        <f>IF(ISBLANK(Plan!C59),"",Plan!C59)</f>
        <v>Implementar BBDD</v>
      </c>
      <c r="E63" s="79" t="str">
        <f>IF(ISBLANK(Plan!B62),"",IF(Plan!M62&gt;0,Plan!M62,""))</f>
        <v/>
      </c>
    </row>
    <row r="64" spans="3:5" ht="20" customHeight="1" x14ac:dyDescent="0.2">
      <c r="C64" s="78" t="str">
        <f>IF(ISBLANK(Plan!B60),"",Plan!B60)</f>
        <v>Implementación</v>
      </c>
      <c r="D64" s="78" t="str">
        <f>IF(ISBLANK(Plan!C60),"",Plan!C60)</f>
        <v>Implementar pantallas</v>
      </c>
      <c r="E64" s="79" t="str">
        <f>IF(ISBLANK(Plan!B63),"",IF(Plan!M63&gt;0,Plan!M63,""))</f>
        <v/>
      </c>
    </row>
    <row r="65" spans="3:5" ht="20" customHeight="1" x14ac:dyDescent="0.2">
      <c r="C65" s="78" t="str">
        <f>IF(ISBLANK(Plan!B61),"",Plan!B61)</f>
        <v>Implementación</v>
      </c>
      <c r="D65" s="78" t="str">
        <f>IF(ISBLANK(Plan!C61),"",Plan!C61)</f>
        <v>Implementar US: Alta Vehículo</v>
      </c>
      <c r="E65" s="79" t="str">
        <f>IF(ISBLANK(Plan!B64),"",IF(Plan!M64&gt;0,Plan!M64,""))</f>
        <v/>
      </c>
    </row>
    <row r="66" spans="3:5" ht="20" customHeight="1" x14ac:dyDescent="0.2">
      <c r="C66" s="78" t="str">
        <f>IF(ISBLANK(Plan!B62),"",Plan!B62)</f>
        <v>Implementación</v>
      </c>
      <c r="D66" s="78" t="str">
        <f>IF(ISBLANK(Plan!C62),"",Plan!C62)</f>
        <v>Implementar US: Marcas</v>
      </c>
      <c r="E66" s="79" t="str">
        <f>IF(ISBLANK(Plan!B65),"",IF(Plan!M65&gt;0,Plan!M65,""))</f>
        <v/>
      </c>
    </row>
    <row r="67" spans="3:5" ht="20" customHeight="1" x14ac:dyDescent="0.2">
      <c r="C67" s="78" t="str">
        <f>IF(ISBLANK(Plan!B63),"",Plan!B63)</f>
        <v>Implementación</v>
      </c>
      <c r="D67" s="78" t="str">
        <f>IF(ISBLANK(Plan!C63),"",Plan!C63)</f>
        <v>Implementar US: Almacén</v>
      </c>
      <c r="E67" s="79" t="str">
        <f>IF(ISBLANK(Plan!B66),"",IF(Plan!M66&gt;0,Plan!M66,""))</f>
        <v/>
      </c>
    </row>
    <row r="68" spans="3:5" ht="20" customHeight="1" x14ac:dyDescent="0.2">
      <c r="C68" s="78" t="str">
        <f>IF(ISBLANK(Plan!B64),"",Plan!B64)</f>
        <v>Implementación</v>
      </c>
      <c r="D68" s="78" t="str">
        <f>IF(ISBLANK(Plan!C64),"",Plan!C64)</f>
        <v>Implementar US: Desplegables (Gamma, Marchas, Techos, Puertas)</v>
      </c>
      <c r="E68" s="79" t="str">
        <f>IF(ISBLANK(Plan!B67),"",IF(Plan!M67&gt;0,Plan!M67,""))</f>
        <v/>
      </c>
    </row>
    <row r="69" spans="3:5" ht="20" customHeight="1" x14ac:dyDescent="0.2">
      <c r="C69" s="78" t="str">
        <f>IF(ISBLANK(Plan!B65),"",Plan!B65)</f>
        <v>Implementación</v>
      </c>
      <c r="D69" s="78" t="str">
        <f>IF(ISBLANK(Plan!C65),"",Plan!C65)</f>
        <v>Implementar US: Listar coches (filtrado)</v>
      </c>
      <c r="E69" s="79" t="str">
        <f>IF(ISBLANK(Plan!B68),"",IF(Plan!M68&gt;0,Plan!M68,""))</f>
        <v/>
      </c>
    </row>
    <row r="70" spans="3:5" ht="20" customHeight="1" x14ac:dyDescent="0.2">
      <c r="C70" s="78" t="str">
        <f>IF(ISBLANK(Plan!B66),"",Plan!B66)</f>
        <v>Implementación</v>
      </c>
      <c r="D70" s="78" t="str">
        <f>IF(ISBLANK(Plan!C66),"",Plan!C66)</f>
        <v>Integrar historias de usuario del sprint</v>
      </c>
      <c r="E70" s="79" t="str">
        <f>IF(ISBLANK(Plan!B69),"",IF(Plan!M69&gt;0,Plan!M69,""))</f>
        <v/>
      </c>
    </row>
    <row r="71" spans="3:5" ht="20" customHeight="1" x14ac:dyDescent="0.2">
      <c r="C71" s="78" t="str">
        <f>IF(ISBLANK(Plan!B67),"",Plan!B67)</f>
        <v>Implementación</v>
      </c>
      <c r="D71" s="78" t="str">
        <f>IF(ISBLANK(Plan!C67),"",Plan!C67)</f>
        <v>Inspeccionar código (Q) y poner en línea base (GCS)</v>
      </c>
      <c r="E71" s="79" t="str">
        <f>IF(ISBLANK(Plan!B70),"",IF(Plan!M70&gt;0,Plan!M70,""))</f>
        <v/>
      </c>
    </row>
    <row r="72" spans="3:5" ht="20" customHeight="1" x14ac:dyDescent="0.2">
      <c r="C72" s="78" t="str">
        <f>IF(ISBLANK(Plan!B68),"",Plan!B68)</f>
        <v>Implementación</v>
      </c>
      <c r="D72" s="78" t="str">
        <f>IF(ISBLANK(Plan!C68),"",Plan!C68)</f>
        <v>Introducir datos de Planificación/Monitorización S7 (esfuerzo real / semana, US implementadas)</v>
      </c>
      <c r="E72" s="79" t="str">
        <f>IF(ISBLANK(Plan!B71),"",IF(Plan!M71&gt;0,Plan!M71,""))</f>
        <v/>
      </c>
    </row>
    <row r="73" spans="3:5" ht="20" customHeight="1" x14ac:dyDescent="0.2">
      <c r="C73" s="78" t="str">
        <f>IF(ISBLANK(Plan!B69),"",Plan!B69)</f>
        <v>Implementación</v>
      </c>
      <c r="D73" s="78" t="str">
        <f>IF(ISBLANK(Plan!C69),"",Plan!C69)</f>
        <v>Registrar datos de calidad S7: ejecucion, defectos y verificacion DoD</v>
      </c>
      <c r="E73" s="79" t="str">
        <f>IF(ISBLANK(Plan!B72),"",IF(Plan!M72&gt;0,Plan!M72,""))</f>
        <v/>
      </c>
    </row>
    <row r="74" spans="3:5" ht="20" customHeight="1" x14ac:dyDescent="0.2">
      <c r="C74" s="78" t="e">
        <f>IF(ISBLANK(Plan!#REF!),"",Plan!#REF!)</f>
        <v>#REF!</v>
      </c>
      <c r="D74" s="78" t="e">
        <f>IF(ISBLANK(Plan!#REF!),"",Plan!#REF!)</f>
        <v>#REF!</v>
      </c>
      <c r="E74" s="79" t="str">
        <f>IF(ISBLANK(Plan!B73),"",IF(Plan!M73&gt;0,Plan!M73,""))</f>
        <v/>
      </c>
    </row>
    <row r="75" spans="3:5" ht="21.25" customHeight="1" x14ac:dyDescent="0.2">
      <c r="C75" s="78" t="str">
        <f>IF(ISBLANK(Plan!B70),"",Plan!B70)</f>
        <v/>
      </c>
      <c r="D75" s="78" t="str">
        <f>IF(ISBLANK(Plan!C70),"",Plan!C70)</f>
        <v/>
      </c>
      <c r="E75" s="79" t="str">
        <f>IF(ISBLANK(Plan!B74),"",IF(Plan!M74&gt;0,Plan!M74,""))</f>
        <v/>
      </c>
    </row>
    <row r="76" spans="3:5" ht="21.25" customHeight="1" x14ac:dyDescent="0.2">
      <c r="C76" s="78" t="str">
        <f>IF(ISBLANK(Plan!B71),"",Plan!B71)</f>
        <v/>
      </c>
      <c r="D76" s="78" t="str">
        <f>IF(ISBLANK(Plan!C71),"",Plan!C71)</f>
        <v/>
      </c>
      <c r="E76" s="79" t="str">
        <f>IF(ISBLANK(Plan!B75),"",IF(Plan!M75&gt;0,Plan!M75,""))</f>
        <v/>
      </c>
    </row>
    <row r="77" spans="3:5" ht="21.25" customHeight="1" x14ac:dyDescent="0.2">
      <c r="C77" s="78" t="str">
        <f>IF(ISBLANK(Plan!B72),"",Plan!B72)</f>
        <v>Pruebas</v>
      </c>
      <c r="D77" s="78" t="str">
        <f>IF(ISBLANK(Plan!C72),"",Plan!C72)</f>
        <v>Definir casos de prueba unitarios y de aceptación por US</v>
      </c>
      <c r="E77" s="79" t="str">
        <f>IF(ISBLANK(Plan!B76),"",IF(Plan!M76&gt;0,Plan!M76,""))</f>
        <v/>
      </c>
    </row>
    <row r="78" spans="3:5" ht="21.25" customHeight="1" x14ac:dyDescent="0.2">
      <c r="C78" s="78" t="str">
        <f>IF(ISBLANK(Plan!B73),"",Plan!B73)</f>
        <v>Pruebas</v>
      </c>
      <c r="D78" s="78" t="str">
        <f>IF(ISBLANK(Plan!C73),"",Plan!C73)</f>
        <v>Ejecutar pruebas y registrar resultado esperado vs real y version</v>
      </c>
      <c r="E78" s="79" t="str">
        <f>IF(ISBLANK(Plan!B77),"",IF(Plan!M77&gt;0,Plan!M77,""))</f>
        <v/>
      </c>
    </row>
    <row r="79" spans="3:5" ht="42.75" customHeight="1" x14ac:dyDescent="0.2">
      <c r="C79" s="78" t="str">
        <f>IF(ISBLANK(Plan!B74),"",Plan!B74)</f>
        <v>Pruebas</v>
      </c>
      <c r="D79" s="78" t="str">
        <f>IF(ISBLANK(Plan!C74),"",Plan!C74)</f>
        <v>Inspeccionar registros de pruebas, enlazar evidencias y poner en linea base (Q/GCS)</v>
      </c>
      <c r="E79" s="79" t="str">
        <f>IF(ISBLANK(Plan!B78),"",IF(Plan!M78&gt;0,Plan!M78,""))</f>
        <v/>
      </c>
    </row>
    <row r="80" spans="3:5" ht="42.75" customHeight="1" x14ac:dyDescent="0.2">
      <c r="C80" s="78" t="str">
        <f>IF(ISBLANK(Plan!B75),"",Plan!B75)</f>
        <v>Pruebas</v>
      </c>
      <c r="D80" s="78" t="str">
        <f>IF(ISBLANK(Plan!C75),"",Plan!C75)</f>
        <v>Introducir datos de Planificación/Monitorización S8 (esfuerzo real / semana, US)</v>
      </c>
      <c r="E80" s="79" t="str">
        <f>IF(ISBLANK(Plan!B79),"",IF(Plan!M79&gt;0,Plan!M79,""))</f>
        <v/>
      </c>
    </row>
    <row r="81" spans="3:5" ht="21.25" customHeight="1" x14ac:dyDescent="0.2">
      <c r="C81" s="78" t="str">
        <f>IF(ISBLANK(Plan!B76),"",Plan!B76)</f>
        <v/>
      </c>
      <c r="D81" s="78" t="str">
        <f>IF(ISBLANK(Plan!C76),"",Plan!C76)</f>
        <v/>
      </c>
      <c r="E81" s="79" t="str">
        <f>IF(ISBLANK(Plan!B80),"",IF(Plan!M80&gt;0,Plan!M80,""))</f>
        <v/>
      </c>
    </row>
    <row r="82" spans="3:5" ht="21.25" customHeight="1" x14ac:dyDescent="0.2">
      <c r="C82" s="78" t="str">
        <f>IF(ISBLANK(Plan!B77),"",Plan!B77)</f>
        <v/>
      </c>
      <c r="D82" s="78" t="str">
        <f>IF(ISBLANK(Plan!C77),"",Plan!C77)</f>
        <v/>
      </c>
      <c r="E82" s="79" t="str">
        <f>IF(ISBLANK(Plan!B81),"",IF(Plan!M81&gt;0,Plan!M81,""))</f>
        <v/>
      </c>
    </row>
    <row r="83" spans="3:5" ht="21.25" customHeight="1" x14ac:dyDescent="0.2">
      <c r="C83" s="78" t="str">
        <f>IF(ISBLANK(Plan!B78),"",Plan!B78)</f>
        <v>Retrospectiva</v>
      </c>
      <c r="D83" s="78" t="str">
        <f>IF(ISBLANK(Plan!C78),"",Plan!C78)</f>
        <v>Realizar informe de retrospectiva del Sprint 1</v>
      </c>
      <c r="E83" s="79" t="str">
        <f>IF(ISBLANK(Plan!B82),"",IF(Plan!M82&gt;0,Plan!M82,""))</f>
        <v/>
      </c>
    </row>
    <row r="84" spans="3:5" ht="21.25" customHeight="1" x14ac:dyDescent="0.2">
      <c r="C84" s="78" t="str">
        <f>IF(ISBLANK(Plan!B79),"",Plan!B79)</f>
        <v>Retrospectiva</v>
      </c>
      <c r="D84" s="78" t="str">
        <f>IF(ISBLANK(Plan!C79),"",Plan!C79)</f>
        <v>Evaluar roles y equipo del Sprint 1</v>
      </c>
      <c r="E84" s="79" t="str">
        <f>IF(ISBLANK(Plan!B83),"",IF(Plan!M83&gt;0,Plan!M83,""))</f>
        <v/>
      </c>
    </row>
    <row r="85" spans="3:5" ht="21.25" customHeight="1" x14ac:dyDescent="0.2">
      <c r="C85" s="78" t="str">
        <f>IF(ISBLANK(Plan!B80),"",Plan!B80)</f>
        <v>Retrospectiva</v>
      </c>
      <c r="D85" s="78" t="str">
        <f>IF(ISBLANK(Plan!C80),"",Plan!C80)</f>
        <v>Revisar productos y procesos; dificultades, PF y PD</v>
      </c>
      <c r="E85" s="79" t="str">
        <f>IF(ISBLANK(Plan!B84),"",IF(Plan!M84&gt;0,Plan!M84,""))</f>
        <v/>
      </c>
    </row>
    <row r="86" spans="3:5" ht="21.25" customHeight="1" x14ac:dyDescent="0.2">
      <c r="C86" s="78" t="str">
        <f>IF(ISBLANK(Plan!B81),"",Plan!B81)</f>
        <v>Retrospectiva</v>
      </c>
      <c r="D86" s="78" t="str">
        <f>IF(ISBLANK(Plan!C81),"",Plan!C81)</f>
        <v>Retrospectiva STARFISH (Keep / More / Start / Stop / Less)</v>
      </c>
      <c r="E86" s="79" t="str">
        <f>IF(ISBLANK(Plan!B85),"",IF(Plan!M85&gt;0,Plan!M85,""))</f>
        <v/>
      </c>
    </row>
    <row r="87" spans="3:5" ht="21.25" customHeight="1" x14ac:dyDescent="0.2">
      <c r="C87" s="78" t="str">
        <f>IF(ISBLANK(Plan!B82),"",Plan!B82)</f>
        <v>Retrospectiva</v>
      </c>
      <c r="D87" s="78" t="str">
        <f>IF(ISBLANK(Plan!C82),"",Plan!C82)</f>
        <v>Introducir datos de Planificación/Monitorización S9</v>
      </c>
      <c r="E87" s="79" t="str">
        <f>IF(ISBLANK(Plan!B86),"",IF(Plan!M86&gt;0,Plan!M86,""))</f>
        <v/>
      </c>
    </row>
    <row r="88" spans="3:5" ht="21.25" customHeight="1" x14ac:dyDescent="0.2">
      <c r="C88" s="78" t="str">
        <f>IF(ISBLANK(Plan!B83),"",Plan!B83)</f>
        <v>Retrospectiva</v>
      </c>
      <c r="D88" s="78" t="str">
        <f>IF(ISBLANK(Plan!C83),"",Plan!C83)</f>
        <v>Lecciones aprendidas y mejoras al proceso</v>
      </c>
      <c r="E88" s="79" t="str">
        <f>IF(ISBLANK(Plan!B87),"",IF(Plan!M87&gt;0,Plan!M87,""))</f>
        <v/>
      </c>
    </row>
    <row r="89" spans="3:5" ht="21.25" customHeight="1" x14ac:dyDescent="0.2">
      <c r="D89" s="78" t="str">
        <f>IF(ISBLANK(Plan!C84),"",Plan!C84)</f>
        <v/>
      </c>
    </row>
    <row r="90" spans="3:5" x14ac:dyDescent="0.2">
      <c r="D90" s="78"/>
    </row>
    <row r="91" spans="3:5" x14ac:dyDescent="0.2">
      <c r="D91" s="78"/>
    </row>
    <row r="92" spans="3:5" ht="21.25" customHeight="1" x14ac:dyDescent="0.2">
      <c r="D92" s="78" t="str">
        <f>IF(ISBLANK(Plan!C87),"",Plan!C87)</f>
        <v/>
      </c>
    </row>
    <row r="93" spans="3:5" ht="21.25" customHeight="1" x14ac:dyDescent="0.2">
      <c r="D93" s="78" t="str">
        <f>IF(ISBLANK(Plan!C88),"",Plan!C88)</f>
        <v/>
      </c>
    </row>
    <row r="94" spans="3:5" ht="21.25" customHeight="1" x14ac:dyDescent="0.2">
      <c r="D94" s="78" t="str">
        <f>IF(ISBLANK(Plan!C89),"",Plan!C89)</f>
        <v/>
      </c>
    </row>
    <row r="95" spans="3:5" ht="21.25" customHeight="1" x14ac:dyDescent="0.2">
      <c r="D95" s="78" t="str">
        <f>IF(ISBLANK(Plan!C90),"",Plan!C90)</f>
        <v/>
      </c>
    </row>
    <row r="96" spans="3:5" ht="21.25" customHeight="1" x14ac:dyDescent="0.2">
      <c r="D96" s="78" t="str">
        <f>IF(ISBLANK(Plan!C91),"",Plan!C91)</f>
        <v/>
      </c>
    </row>
    <row r="97" spans="4:4" ht="21.25" customHeight="1" x14ac:dyDescent="0.2">
      <c r="D97" s="78" t="str">
        <f>IF(ISBLANK(Plan!C92),"",Plan!C92)</f>
        <v/>
      </c>
    </row>
    <row r="98" spans="4:4" ht="21.25" customHeight="1" x14ac:dyDescent="0.2">
      <c r="D98" s="78" t="str">
        <f>IF(ISBLANK(Plan!C93),"",Plan!C93)</f>
        <v/>
      </c>
    </row>
    <row r="99" spans="4:4" ht="21.25" customHeight="1" x14ac:dyDescent="0.2">
      <c r="D99" s="78" t="str">
        <f>IF(ISBLANK(Plan!C94),"",Plan!C94)</f>
        <v/>
      </c>
    </row>
    <row r="100" spans="4:4" ht="21.25" customHeight="1" x14ac:dyDescent="0.2">
      <c r="D100" s="78" t="str">
        <f>IF(ISBLANK(Plan!C95),"",Plan!C95)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L90"/>
  <sheetViews>
    <sheetView topLeftCell="A38" workbookViewId="0">
      <selection activeCell="E69" sqref="E69"/>
    </sheetView>
  </sheetViews>
  <sheetFormatPr baseColWidth="10" defaultColWidth="8.83203125" defaultRowHeight="15" x14ac:dyDescent="0.2"/>
  <cols>
    <col min="3" max="3" width="14.83203125" customWidth="1"/>
    <col min="4" max="4" width="45.5" customWidth="1"/>
    <col min="5" max="5" width="16.33203125" customWidth="1"/>
    <col min="8" max="8" width="11" customWidth="1"/>
  </cols>
  <sheetData>
    <row r="2" spans="3:12" ht="20" customHeight="1" x14ac:dyDescent="0.2">
      <c r="C2" s="12" t="s">
        <v>106</v>
      </c>
      <c r="D2" s="13"/>
      <c r="G2" s="14" t="s">
        <v>102</v>
      </c>
    </row>
    <row r="3" spans="3:12" ht="20" customHeight="1" x14ac:dyDescent="0.2">
      <c r="D3" s="75" t="s">
        <v>103</v>
      </c>
      <c r="E3" s="76">
        <f>SUM(E6:E88)</f>
        <v>675</v>
      </c>
      <c r="G3" t="s">
        <v>104</v>
      </c>
    </row>
    <row r="5" spans="3:12" ht="42" customHeight="1" x14ac:dyDescent="0.2">
      <c r="C5" s="77" t="s">
        <v>1</v>
      </c>
      <c r="D5" s="77" t="s">
        <v>2</v>
      </c>
      <c r="E5" s="77" t="s">
        <v>105</v>
      </c>
      <c r="F5" s="9"/>
      <c r="G5" s="9"/>
      <c r="H5" s="9"/>
      <c r="I5" s="10"/>
      <c r="J5" s="10"/>
      <c r="K5" s="10"/>
      <c r="L5" s="10"/>
    </row>
    <row r="6" spans="3:12" ht="20" customHeight="1" x14ac:dyDescent="0.2">
      <c r="C6" s="78" t="str">
        <f>IF(ISBLANK(Plan!B5),"",Plan!B5)</f>
        <v>Lanzamiento</v>
      </c>
      <c r="D6" s="78" t="str">
        <f>IF(ISBLANK(Plan!C5),"",Plan!C5)</f>
        <v>Asignar equipos y roles</v>
      </c>
      <c r="E6" s="79">
        <f>IF(ISBLANK(Plan!B5),"",IF(Plan!N5&gt;0,Plan!N5,""))</f>
        <v>10</v>
      </c>
    </row>
    <row r="7" spans="3:12" ht="20" customHeight="1" x14ac:dyDescent="0.2">
      <c r="C7" s="78" t="str">
        <f>IF(ISBLANK(Plan!B6),"",Plan!B6)</f>
        <v>Lanzamiento</v>
      </c>
      <c r="D7" s="78" t="str">
        <f>IF(ISBLANK(Plan!C6),"",Plan!C6)</f>
        <v>Definir proceso de reuniones</v>
      </c>
      <c r="E7" s="79">
        <f>IF(ISBLANK(Plan!B6),"",IF(Plan!N6&gt;0,Plan!N6,""))</f>
        <v>20</v>
      </c>
    </row>
    <row r="8" spans="3:12" ht="20" customHeight="1" x14ac:dyDescent="0.2">
      <c r="C8" s="78" t="str">
        <f>IF(ISBLANK(Plan!B7),"",Plan!B7)</f>
        <v>Lanzamiento</v>
      </c>
      <c r="D8" s="78" t="str">
        <f>IF(ISBLANK(Plan!C7),"",Plan!C7)</f>
        <v>Realizar Estándar de Documentación</v>
      </c>
      <c r="E8" s="79">
        <f>IF(ISBLANK(Plan!B7),"",IF(Plan!N7&gt;0,Plan!N7,""))</f>
        <v>30</v>
      </c>
    </row>
    <row r="9" spans="3:12" ht="20" customHeight="1" x14ac:dyDescent="0.2">
      <c r="C9" s="78" t="str">
        <f>IF(ISBLANK(Plan!B8),"",Plan!B8)</f>
        <v>Lanzamiento</v>
      </c>
      <c r="D9" s="78" t="str">
        <f>IF(ISBLANK(Plan!C8),"",Plan!C8)</f>
        <v>Realizar Estándar de Agendas</v>
      </c>
      <c r="E9" s="79">
        <f>IF(ISBLANK(Plan!B8),"",IF(Plan!N8&gt;0,Plan!N8,""))</f>
        <v>20</v>
      </c>
    </row>
    <row r="10" spans="3:12" ht="20" customHeight="1" x14ac:dyDescent="0.2">
      <c r="C10" s="78" t="str">
        <f>IF(ISBLANK(Plan!B9),"",Plan!B9)</f>
        <v>Lanzamiento</v>
      </c>
      <c r="D10" s="78" t="str">
        <f>IF(ISBLANK(Plan!C9),"",Plan!C9)</f>
        <v>Realizar Estándar de Actas</v>
      </c>
      <c r="E10" s="79" t="str">
        <f>IF(ISBLANK(Plan!B9),"",IF(Plan!N9&gt;0,Plan!N9,""))</f>
        <v/>
      </c>
    </row>
    <row r="11" spans="3:12" ht="20" customHeight="1" x14ac:dyDescent="0.2">
      <c r="C11" s="78" t="str">
        <f>IF(ISBLANK(Plan!B10),"",Plan!B10)</f>
        <v>Lanzamiento</v>
      </c>
      <c r="D11" s="78" t="str">
        <f>IF(ISBLANK(Plan!C10),"",Plan!C10)</f>
        <v>Definir Ciclo de Vida a aplicar (actividades)</v>
      </c>
      <c r="E11" s="79">
        <f>IF(ISBLANK(Plan!B10),"",IF(Plan!N10&gt;0,Plan!N10,""))</f>
        <v>15</v>
      </c>
    </row>
    <row r="12" spans="3:12" ht="20" customHeight="1" x14ac:dyDescent="0.2">
      <c r="C12" s="78" t="str">
        <f>IF(ISBLANK(Plan!B11),"",Plan!B11)</f>
        <v>Lanzamiento</v>
      </c>
      <c r="D12" s="78" t="str">
        <f>IF(ISBLANK(Plan!C11),"",Plan!C11)</f>
        <v>Definir outputs y plantillas del CV</v>
      </c>
      <c r="E12" s="79" t="str">
        <f>IF(ISBLANK(Plan!B11),"",IF(Plan!N11&gt;0,Plan!N11,""))</f>
        <v/>
      </c>
    </row>
    <row r="13" spans="3:12" ht="20" customHeight="1" x14ac:dyDescent="0.2">
      <c r="C13" s="78" t="str">
        <f>IF(ISBLANK(Plan!B12),"",Plan!B12)</f>
        <v>Lanzamiento</v>
      </c>
      <c r="D13" s="78" t="str">
        <f>IF(ISBLANK(Plan!C12),"",Plan!C12)</f>
        <v>Definir Entorno de Desarrollo</v>
      </c>
      <c r="E13" s="79">
        <f>IF(ISBLANK(Plan!B12),"",IF(Plan!N12&gt;0,Plan!N12,""))</f>
        <v>20</v>
      </c>
    </row>
    <row r="14" spans="3:12" ht="20" customHeight="1" x14ac:dyDescent="0.2">
      <c r="C14" s="78" t="str">
        <f>IF(ISBLANK(Plan!B13),"",Plan!B13)</f>
        <v>Lanzamiento</v>
      </c>
      <c r="D14" s="78" t="str">
        <f>IF(ISBLANK(Plan!C13),"",Plan!C13)</f>
        <v>Configurar Entorno de Desarrollo</v>
      </c>
      <c r="E14" s="79" t="str">
        <f>IF(ISBLANK(Plan!B13),"",IF(Plan!N13&gt;0,Plan!N13,""))</f>
        <v/>
      </c>
    </row>
    <row r="15" spans="3:12" ht="20" customHeight="1" x14ac:dyDescent="0.2">
      <c r="C15" s="78" t="str">
        <f>IF(ISBLANK(Plan!B14),"",Plan!B14)</f>
        <v>Lanzamiento</v>
      </c>
      <c r="D15" s="78" t="str">
        <f>IF(ISBLANK(Plan!C14),"",Plan!C14)</f>
        <v>Definir Estándar de Codificación</v>
      </c>
      <c r="E15" s="79">
        <f>IF(ISBLANK(Plan!B14),"",IF(Plan!N14&gt;0,Plan!N14,""))</f>
        <v>15</v>
      </c>
    </row>
    <row r="16" spans="3:12" ht="20" customHeight="1" x14ac:dyDescent="0.2">
      <c r="C16" s="78"/>
      <c r="D16" s="78"/>
      <c r="E16" s="79">
        <f>IF(ISBLANK(Plan!B15),"",IF(Plan!N15&gt;0,Plan!N15,""))</f>
        <v>5</v>
      </c>
    </row>
    <row r="17" spans="3:5" ht="20" customHeight="1" x14ac:dyDescent="0.2">
      <c r="C17" s="78"/>
      <c r="D17" s="78"/>
      <c r="E17" s="79" t="str">
        <f>IF(ISBLANK(Plan!B16),"",IF(Plan!N16&gt;0,Plan!N16,""))</f>
        <v/>
      </c>
    </row>
    <row r="18" spans="3:5" ht="20" customHeight="1" x14ac:dyDescent="0.2">
      <c r="C18" s="78" t="str">
        <f>IF(ISBLANK(Plan!B15),"",Plan!B15)</f>
        <v>Lanzamiento</v>
      </c>
      <c r="D18" s="78" t="str">
        <f>IF(ISBLANK(Plan!C15),"",Plan!C15)</f>
        <v>Introducir datos de Planificación/Monitorización S1 (esfuerzo real / semana)</v>
      </c>
      <c r="E18" s="79" t="str">
        <f>IF(ISBLANK(Plan!B17),"",IF(Plan!N17&gt;0,Plan!N17,""))</f>
        <v/>
      </c>
    </row>
    <row r="19" spans="3:5" ht="20" customHeight="1" x14ac:dyDescent="0.2">
      <c r="C19" s="78" t="str">
        <f>IF(ISBLANK(Plan!B16),"",Plan!B16)</f>
        <v/>
      </c>
      <c r="D19" s="78" t="str">
        <f>IF(ISBLANK(Plan!C16),"",Plan!C16)</f>
        <v/>
      </c>
      <c r="E19" s="79" t="str">
        <f>IF(ISBLANK(Plan!B18),"",IF(Plan!N18&gt;0,Plan!N18,""))</f>
        <v/>
      </c>
    </row>
    <row r="20" spans="3:5" ht="20" customHeight="1" x14ac:dyDescent="0.2">
      <c r="C20" s="78" t="str">
        <f>IF(ISBLANK(Plan!B17),"",Plan!B17)</f>
        <v/>
      </c>
      <c r="D20" s="78" t="str">
        <f>IF(ISBLANK(Plan!C17),"",Plan!C17)</f>
        <v/>
      </c>
      <c r="E20" s="79">
        <f>IF(ISBLANK(Plan!B19),"",IF(Plan!N19&gt;0,Plan!N19,""))</f>
        <v>30</v>
      </c>
    </row>
    <row r="21" spans="3:5" ht="20" customHeight="1" x14ac:dyDescent="0.2">
      <c r="C21" s="78" t="str">
        <f>IF(ISBLANK(Plan!B18),"",Plan!B18)</f>
        <v/>
      </c>
      <c r="D21" s="78" t="str">
        <f>IF(ISBLANK(Plan!C18),"",Plan!C18)</f>
        <v/>
      </c>
      <c r="E21" s="79">
        <f>IF(ISBLANK(Plan!B20),"",IF(Plan!N20&gt;0,Plan!N20,""))</f>
        <v>5</v>
      </c>
    </row>
    <row r="22" spans="3:5" ht="20" customHeight="1" x14ac:dyDescent="0.2">
      <c r="C22" s="78" t="str">
        <f>IF(ISBLANK(Plan!B19),"",Plan!B19)</f>
        <v>Requisitos</v>
      </c>
      <c r="D22" s="78" t="str">
        <f>IF(ISBLANK(Plan!C19),"",Plan!C19)</f>
        <v>Obtener Historias de Usuario (US)</v>
      </c>
      <c r="E22" s="79">
        <f>IF(ISBLANK(Plan!B21),"",IF(Plan!N21&gt;0,Plan!N21,""))</f>
        <v>45</v>
      </c>
    </row>
    <row r="23" spans="3:5" ht="20" customHeight="1" x14ac:dyDescent="0.2">
      <c r="C23" s="78" t="str">
        <f>IF(ISBLANK(Plan!B20),"",Plan!B20)</f>
        <v>Requisitos</v>
      </c>
      <c r="D23" s="78" t="str">
        <f>IF(ISBLANK(Plan!C20),"",Plan!C20)</f>
        <v>Describir las US según plantilla (Como/Quiero/Para + criterios de aceptación)</v>
      </c>
      <c r="E23" s="79">
        <f>IF(ISBLANK(Plan!B22),"",IF(Plan!N22&gt;0,Plan!N22,""))</f>
        <v>10</v>
      </c>
    </row>
    <row r="24" spans="3:5" ht="20" customHeight="1" x14ac:dyDescent="0.2">
      <c r="C24" s="78" t="str">
        <f>IF(ISBLANK(Plan!B21),"",Plan!B21)</f>
        <v>Requisitos</v>
      </c>
      <c r="D24" s="78" t="str">
        <f>IF(ISBLANK(Plan!C21),"",Plan!C21)</f>
        <v>Completar campos de US para puntos de función</v>
      </c>
      <c r="E24" s="79">
        <f>IF(ISBLANK(Plan!B23),"",IF(Plan!N23&gt;0,Plan!N23,""))</f>
        <v>60</v>
      </c>
    </row>
    <row r="25" spans="3:5" ht="20" customHeight="1" x14ac:dyDescent="0.2">
      <c r="C25" s="78" t="str">
        <f>IF(ISBLANK(Plan!B22),"",Plan!B22)</f>
        <v>Requisitos</v>
      </c>
      <c r="D25" s="78" t="str">
        <f>IF(ISBLANK(Plan!C22),"",Plan!C22)</f>
        <v>Elaborar Product Backlog priorizado</v>
      </c>
      <c r="E25" s="79">
        <f>IF(ISBLANK(Plan!B24),"",IF(Plan!N24&gt;0,Plan!N24,""))</f>
        <v>5</v>
      </c>
    </row>
    <row r="26" spans="3:5" ht="20" customHeight="1" x14ac:dyDescent="0.2">
      <c r="C26" s="78" t="str">
        <f>IF(ISBLANK(Plan!B23),"",Plan!B23)</f>
        <v>Requisitos</v>
      </c>
      <c r="D26" s="78" t="str">
        <f>IF(ISBLANK(Plan!C23),"",Plan!C23)</f>
        <v>Inspeccionar las US y criterios de aceptacion (Q)</v>
      </c>
      <c r="E26" s="79">
        <f>IF(ISBLANK(Plan!B25),"",IF(Plan!N25&gt;0,Plan!N25,""))</f>
        <v>120</v>
      </c>
    </row>
    <row r="27" spans="3:5" ht="20" customHeight="1" x14ac:dyDescent="0.2">
      <c r="C27" s="78" t="str">
        <f>IF(ISBLANK(Plan!B24),"",Plan!B24)</f>
        <v>Requisitos</v>
      </c>
      <c r="D27" s="78" t="str">
        <f>IF(ISBLANK(Plan!C24),"",Plan!C24)</f>
        <v>Poner en línea base las US (GCS)</v>
      </c>
      <c r="E27" s="79">
        <f>IF(ISBLANK(Plan!B26),"",IF(Plan!N26&gt;0,Plan!N26,""))</f>
        <v>10</v>
      </c>
    </row>
    <row r="28" spans="3:5" ht="20" customHeight="1" x14ac:dyDescent="0.2">
      <c r="C28" s="78" t="str">
        <f>IF(ISBLANK(Plan!B25),"",Plan!B25)</f>
        <v>Requisitos</v>
      </c>
      <c r="D28" s="78" t="str">
        <f>IF(ISBLANK(Plan!C25),"",Plan!C25)</f>
        <v>Introducir datos de Planificación/Monitorización(esfuerzo real / semana) S3</v>
      </c>
      <c r="E28" s="79" t="str">
        <f>IF(ISBLANK(Plan!B27),"",IF(Plan!N27&gt;0,Plan!N27,""))</f>
        <v/>
      </c>
    </row>
    <row r="29" spans="3:5" ht="20" customHeight="1" x14ac:dyDescent="0.2">
      <c r="C29" s="78" t="str">
        <f>IF(ISBLANK(Plan!B26),"",Plan!B26)</f>
        <v>Requisitos</v>
      </c>
      <c r="D29" s="78" t="str">
        <f>IF(ISBLANK(Plan!C26),"",Plan!C26)</f>
        <v>Registrar datos de calidad S3</v>
      </c>
      <c r="E29" s="79" t="str">
        <f>IF(ISBLANK(Plan!B28),"",IF(Plan!N28&gt;0,Plan!N28,""))</f>
        <v/>
      </c>
    </row>
    <row r="30" spans="3:5" ht="20" customHeight="1" x14ac:dyDescent="0.2">
      <c r="C30" s="78" t="str">
        <f>IF(ISBLANK(Plan!B27),"",Plan!B27)</f>
        <v/>
      </c>
      <c r="D30" s="78" t="str">
        <f>IF(ISBLANK(Plan!C27),"",Plan!C27)</f>
        <v/>
      </c>
      <c r="E30" s="79" t="str">
        <f>IF(ISBLANK(Plan!B29),"",IF(Plan!N29&gt;0,Plan!N29,""))</f>
        <v/>
      </c>
    </row>
    <row r="31" spans="3:5" ht="20" customHeight="1" x14ac:dyDescent="0.2">
      <c r="C31" s="78" t="str">
        <f>IF(ISBLANK(Plan!B28),"",Plan!B28)</f>
        <v/>
      </c>
      <c r="D31" s="78" t="str">
        <f>IF(ISBLANK(Plan!C28),"",Plan!C28)</f>
        <v/>
      </c>
      <c r="E31" s="79" t="str">
        <f>IF(ISBLANK(Plan!B30),"",IF(Plan!N30&gt;0,Plan!N30,""))</f>
        <v/>
      </c>
    </row>
    <row r="32" spans="3:5" ht="20" customHeight="1" x14ac:dyDescent="0.2">
      <c r="C32" s="78" t="str">
        <f>IF(ISBLANK(Plan!B29),"",Plan!B29)</f>
        <v/>
      </c>
      <c r="D32" s="78" t="str">
        <f>IF(ISBLANK(Plan!C29),"",Plan!C29)</f>
        <v/>
      </c>
      <c r="E32" s="79">
        <f>IF(ISBLANK(Plan!B31),"",IF(Plan!N31&gt;0,Plan!N31,""))</f>
        <v>10</v>
      </c>
    </row>
    <row r="33" spans="3:5" ht="20" customHeight="1" x14ac:dyDescent="0.2">
      <c r="C33" s="78" t="str">
        <f>IF(ISBLANK(Plan!B30),"",Plan!B30)</f>
        <v/>
      </c>
      <c r="D33" s="78" t="str">
        <f>IF(ISBLANK(Plan!C30),"",Plan!C30)</f>
        <v/>
      </c>
      <c r="E33" s="79">
        <f>IF(ISBLANK(Plan!B32),"",IF(Plan!N32&gt;0,Plan!N32,""))</f>
        <v>35</v>
      </c>
    </row>
    <row r="34" spans="3:5" ht="20" customHeight="1" x14ac:dyDescent="0.2">
      <c r="C34" s="78" t="str">
        <f>IF(ISBLANK(Plan!B31),"",Plan!B31)</f>
        <v>Estrategia</v>
      </c>
      <c r="D34" s="78" t="str">
        <f>IF(ISBLANK(Plan!C31),"",Plan!C31)</f>
        <v>Estimar Puntos de Función sobre las US</v>
      </c>
      <c r="E34" s="79">
        <f>IF(ISBLANK(Plan!B33),"",IF(Plan!N33&gt;0,Plan!N33,""))</f>
        <v>10</v>
      </c>
    </row>
    <row r="35" spans="3:5" ht="20" customHeight="1" x14ac:dyDescent="0.2">
      <c r="C35" s="78" t="str">
        <f>IF(ISBLANK(Plan!B32),"",Plan!B32)</f>
        <v>Estrategia</v>
      </c>
      <c r="D35" s="78" t="str">
        <f>IF(ISBLANK(Plan!C32),"",Plan!C32)</f>
        <v>Calcular esfuerzo (horas)</v>
      </c>
      <c r="E35" s="79">
        <f>IF(ISBLANK(Plan!B34),"",IF(Plan!N34&gt;0,Plan!N34,""))</f>
        <v>30</v>
      </c>
    </row>
    <row r="36" spans="3:5" ht="20" customHeight="1" x14ac:dyDescent="0.2">
      <c r="C36" s="78" t="str">
        <f>IF(ISBLANK(Plan!B33),"",Plan!B33)</f>
        <v>Estrategia</v>
      </c>
      <c r="D36" s="78" t="str">
        <f>IF(ISBLANK(Plan!C33),"",Plan!C33)</f>
        <v>Establecer estrategia de desarrollo (US Sprint 1 y Sprint 2)</v>
      </c>
      <c r="E36" s="79">
        <f>IF(ISBLANK(Plan!B35),"",IF(Plan!N35&gt;0,Plan!N35,""))</f>
        <v>15</v>
      </c>
    </row>
    <row r="37" spans="3:5" ht="20" customHeight="1" x14ac:dyDescent="0.2">
      <c r="C37" s="78" t="str">
        <f>IF(ISBLANK(Plan!B34),"",Plan!B34)</f>
        <v>Estrategia</v>
      </c>
      <c r="D37" s="78" t="str">
        <f>IF(ISBLANK(Plan!C34),"",Plan!C34)</f>
        <v>Elaborar documento de Estrategia</v>
      </c>
      <c r="E37" s="79" t="str">
        <f>IF(ISBLANK(Plan!B36),"",IF(Plan!N36&gt;0,Plan!N36,""))</f>
        <v/>
      </c>
    </row>
    <row r="38" spans="3:5" ht="20" customHeight="1" x14ac:dyDescent="0.2">
      <c r="C38" s="78" t="str">
        <f>IF(ISBLANK(Plan!B35),"",Plan!B35)</f>
        <v>Estrategia</v>
      </c>
      <c r="D38" s="78" t="str">
        <f>IF(ISBLANK(Plan!C35),"",Plan!C35)</f>
        <v>Elaborar Sprint Backlog con Sprint Goal y tareas de calidad</v>
      </c>
      <c r="E38" s="79">
        <f>IF(ISBLANK(Plan!B37),"",IF(Plan!N37&gt;0,Plan!N37,""))</f>
        <v>15</v>
      </c>
    </row>
    <row r="39" spans="3:5" ht="20" customHeight="1" x14ac:dyDescent="0.2">
      <c r="C39" s="78" t="str">
        <f>IF(ISBLANK(Plan!B36),"",Plan!B36)</f>
        <v>Estrategia</v>
      </c>
      <c r="D39" s="78" t="str">
        <f>IF(ISBLANK(Plan!C36),"",Plan!C36)</f>
        <v>Inspeccionar outputs de Estrategia (Q)</v>
      </c>
      <c r="E39" s="79">
        <f>IF(ISBLANK(Plan!B38),"",IF(Plan!N38&gt;0,Plan!N38,""))</f>
        <v>10</v>
      </c>
    </row>
    <row r="40" spans="3:5" ht="20" customHeight="1" x14ac:dyDescent="0.2">
      <c r="C40" s="78" t="str">
        <f>IF(ISBLANK(Plan!B37),"",Plan!B37)</f>
        <v>Estrategia</v>
      </c>
      <c r="D40" s="78" t="str">
        <f>IF(ISBLANK(Plan!C37),"",Plan!C37)</f>
        <v>Poner en línea base Estrategia y Sprint Backlog (GCS)</v>
      </c>
      <c r="E40" s="79">
        <f>IF(ISBLANK(Plan!B39),"",IF(Plan!N39&gt;0,Plan!N39,""))</f>
        <v>5</v>
      </c>
    </row>
    <row r="41" spans="3:5" ht="20" customHeight="1" x14ac:dyDescent="0.2">
      <c r="C41" s="78" t="str">
        <f>IF(ISBLANK(Plan!B38),"",Plan!B38)</f>
        <v>Estrategia</v>
      </c>
      <c r="D41" s="78" t="str">
        <f>IF(ISBLANK(Plan!C38),"",Plan!C38)</f>
        <v>Introducir datos de Planificación/Monitorización S4 (esfuerzo real / semana)</v>
      </c>
      <c r="E41" s="79" t="str">
        <f>IF(ISBLANK(Plan!B40),"",IF(Plan!N40&gt;0,Plan!N40,""))</f>
        <v/>
      </c>
    </row>
    <row r="42" spans="3:5" ht="20" customHeight="1" x14ac:dyDescent="0.2">
      <c r="C42" s="78" t="str">
        <f>IF(ISBLANK(Plan!B39),"",Plan!B39)</f>
        <v>Estrategia</v>
      </c>
      <c r="D42" s="78" t="str">
        <f>IF(ISBLANK(Plan!C39),"",Plan!C39)</f>
        <v>Registrar datos de calidad S4</v>
      </c>
      <c r="E42" s="79" t="str">
        <f>IF(ISBLANK(Plan!B41),"",IF(Plan!N41&gt;0,Plan!N41,""))</f>
        <v/>
      </c>
    </row>
    <row r="43" spans="3:5" ht="20" customHeight="1" x14ac:dyDescent="0.2">
      <c r="C43" s="78" t="str">
        <f>IF(ISBLANK(Plan!B40),"",Plan!B40)</f>
        <v/>
      </c>
      <c r="D43" s="78" t="str">
        <f>IF(ISBLANK(Plan!C40),"",Plan!C40)</f>
        <v/>
      </c>
      <c r="E43" s="79" t="str">
        <f>IF(ISBLANK(Plan!B42),"",IF(Plan!N42&gt;0,Plan!N42,""))</f>
        <v/>
      </c>
    </row>
    <row r="44" spans="3:5" ht="20" customHeight="1" x14ac:dyDescent="0.2">
      <c r="C44" s="78" t="str">
        <f>IF(ISBLANK(Plan!B41),"",Plan!B41)</f>
        <v/>
      </c>
      <c r="D44" s="78" t="str">
        <f>IF(ISBLANK(Plan!C41),"",Plan!C41)</f>
        <v/>
      </c>
      <c r="E44" s="79">
        <f>IF(ISBLANK(Plan!B43),"",IF(Plan!N43&gt;0,Plan!N43,""))</f>
        <v>40</v>
      </c>
    </row>
    <row r="45" spans="3:5" ht="20" customHeight="1" x14ac:dyDescent="0.2">
      <c r="C45" s="78" t="str">
        <f>IF(ISBLANK(Plan!B42),"",Plan!B42)</f>
        <v/>
      </c>
      <c r="D45" s="78" t="str">
        <f>IF(ISBLANK(Plan!C42),"",Plan!C42)</f>
        <v/>
      </c>
      <c r="E45" s="79" t="str">
        <f>IF(ISBLANK(Plan!B44),"",IF(Plan!N44&gt;0,Plan!N44,""))</f>
        <v/>
      </c>
    </row>
    <row r="46" spans="3:5" ht="20" customHeight="1" x14ac:dyDescent="0.2">
      <c r="C46" s="78" t="str">
        <f>IF(ISBLANK(Plan!B43),"",Plan!B43)</f>
        <v>Planificación</v>
      </c>
      <c r="D46" s="78" t="str">
        <f>IF(ISBLANK(Plan!C43),"",Plan!C43)</f>
        <v>Realizar Plan de Gestión de Configuración (PGCS)</v>
      </c>
      <c r="E46" s="79">
        <f>IF(ISBLANK(Plan!B45),"",IF(Plan!N45&gt;0,Plan!N45,""))</f>
        <v>10</v>
      </c>
    </row>
    <row r="47" spans="3:5" ht="20" customHeight="1" x14ac:dyDescent="0.2">
      <c r="C47" s="78" t="str">
        <f>IF(ISBLANK(Plan!B44),"",Plan!B44)</f>
        <v>Planificación</v>
      </c>
      <c r="D47" s="78" t="str">
        <f>IF(ISBLANK(Plan!C44),"",Plan!C44)</f>
        <v>Realizar Plan de Calidad, DoD y matriz de evidencias</v>
      </c>
      <c r="E47" s="79">
        <f>IF(ISBLANK(Plan!B46),"",IF(Plan!N46&gt;0,Plan!N46,""))</f>
        <v>10</v>
      </c>
    </row>
    <row r="48" spans="3:5" ht="20" customHeight="1" x14ac:dyDescent="0.2">
      <c r="C48" s="78" t="str">
        <f>IF(ISBLANK(Plan!B45),"",Plan!B45)</f>
        <v>Planificación</v>
      </c>
      <c r="D48" s="78" t="str">
        <f>IF(ISBLANK(Plan!C45),"",Plan!C45)</f>
        <v>Realizar Plan de Proyecto del Sprint 1</v>
      </c>
      <c r="E48" s="79" t="str">
        <f>IF(ISBLANK(Plan!B47),"",IF(Plan!N47&gt;0,Plan!N47,""))</f>
        <v/>
      </c>
    </row>
    <row r="49" spans="3:5" ht="20" customHeight="1" x14ac:dyDescent="0.2">
      <c r="C49" s="78" t="str">
        <f>IF(ISBLANK(Plan!B46),"",Plan!B46)</f>
        <v>Planificación</v>
      </c>
      <c r="D49" s="78" t="str">
        <f>IF(ISBLANK(Plan!C46),"",Plan!C46)</f>
        <v>Realizar Diagrama de Gantt del Sprint 1</v>
      </c>
      <c r="E49" s="79">
        <f>IF(ISBLANK(Plan!B48),"",IF(Plan!N48&gt;0,Plan!N48,""))</f>
        <v>5</v>
      </c>
    </row>
    <row r="50" spans="3:5" ht="20" customHeight="1" x14ac:dyDescent="0.2">
      <c r="C50" s="78" t="e">
        <f>IF(ISBLANK(Plan!#REF!),"",Plan!#REF!)</f>
        <v>#REF!</v>
      </c>
      <c r="D50" s="78" t="e">
        <f>IF(ISBLANK(Plan!#REF!),"",Plan!#REF!)</f>
        <v>#REF!</v>
      </c>
      <c r="E50" s="79">
        <f>IF(ISBLANK(Plan!B49),"",IF(Plan!N49&gt;0,Plan!N49,""))</f>
        <v>20</v>
      </c>
    </row>
    <row r="51" spans="3:5" ht="20" customHeight="1" x14ac:dyDescent="0.2">
      <c r="C51" s="78" t="str">
        <f>IF(ISBLANK(Plan!B47),"",Plan!B47)</f>
        <v>Planificación</v>
      </c>
      <c r="D51" s="78" t="str">
        <f>IF(ISBLANK(Plan!C47),"",Plan!C47)</f>
        <v>Inspeccionar planes (Q) y poner en línea base (GCS)</v>
      </c>
      <c r="E51" s="79" t="str">
        <f>IF(ISBLANK(Plan!B50),"",IF(Plan!N50&gt;0,Plan!N50,""))</f>
        <v/>
      </c>
    </row>
    <row r="52" spans="3:5" ht="20" customHeight="1" x14ac:dyDescent="0.2">
      <c r="C52" s="78" t="str">
        <f>IF(ISBLANK(Plan!B48),"",Plan!B48)</f>
        <v>Planificación</v>
      </c>
      <c r="D52" s="78" t="str">
        <f>IF(ISBLANK(Plan!C48),"",Plan!C48)</f>
        <v>Introducir datos de Planificación/Monitorización S5 (esfuerzo real / semana)</v>
      </c>
      <c r="E52" s="79" t="str">
        <f>IF(ISBLANK(Plan!B51),"",IF(Plan!N51&gt;0,Plan!N51,""))</f>
        <v/>
      </c>
    </row>
    <row r="53" spans="3:5" ht="20" customHeight="1" x14ac:dyDescent="0.2">
      <c r="C53" s="78" t="str">
        <f>IF(ISBLANK(Plan!B49),"",Plan!B49)</f>
        <v>Planificación</v>
      </c>
      <c r="D53" s="78" t="str">
        <f>IF(ISBLANK(Plan!C49),"",Plan!C49)</f>
        <v>Registrar datos de calidad S5: revisiones, pruebas y defectos</v>
      </c>
      <c r="E53" s="79">
        <f>IF(ISBLANK(Plan!B52),"",IF(Plan!N52&gt;0,Plan!N52,""))</f>
        <v>15</v>
      </c>
    </row>
    <row r="54" spans="3:5" ht="20" customHeight="1" x14ac:dyDescent="0.2">
      <c r="C54" s="78" t="str">
        <f>IF(ISBLANK(Plan!B50),"",Plan!B50)</f>
        <v/>
      </c>
      <c r="D54" s="78" t="str">
        <f>IF(ISBLANK(Plan!C50),"",Plan!C50)</f>
        <v/>
      </c>
      <c r="E54" s="79" t="str">
        <f>IF(ISBLANK(Plan!B53),"",IF(Plan!N53&gt;0,Plan!N53,""))</f>
        <v/>
      </c>
    </row>
    <row r="55" spans="3:5" ht="20" customHeight="1" x14ac:dyDescent="0.2">
      <c r="C55" s="78" t="str">
        <f>IF(ISBLANK(Plan!B51),"",Plan!B51)</f>
        <v/>
      </c>
      <c r="D55" s="78" t="str">
        <f>IF(ISBLANK(Plan!C51),"",Plan!C51)</f>
        <v/>
      </c>
      <c r="E55" s="79" t="str">
        <f>IF(ISBLANK(Plan!B54),"",IF(Plan!N54&gt;0,Plan!N54,""))</f>
        <v/>
      </c>
    </row>
    <row r="56" spans="3:5" ht="20" customHeight="1" x14ac:dyDescent="0.2">
      <c r="C56" s="78" t="str">
        <f>IF(ISBLANK(Plan!B52),"",Plan!B52)</f>
        <v>Diseño</v>
      </c>
      <c r="D56" s="78" t="str">
        <f>IF(ISBLANK(Plan!C52),"",Plan!C52)</f>
        <v>Realizar diagramas de Casos de Uso</v>
      </c>
      <c r="E56" s="79">
        <f>IF(ISBLANK(Plan!B55),"",IF(Plan!N55&gt;0,Plan!N55,""))</f>
        <v>5</v>
      </c>
    </row>
    <row r="57" spans="3:5" ht="20" customHeight="1" x14ac:dyDescent="0.2">
      <c r="C57" s="78" t="str">
        <f>IF(ISBLANK(Plan!B53),"",Plan!B53)</f>
        <v>Diseño</v>
      </c>
      <c r="D57" s="78" t="str">
        <f>IF(ISBLANK(Plan!C53),"",Plan!C53)</f>
        <v>Realizar modelo Entidad/Relación y BBDD</v>
      </c>
      <c r="E57" s="79">
        <f>IF(ISBLANK(Plan!B56),"",IF(Plan!N56&gt;0,Plan!N56,""))</f>
        <v>20</v>
      </c>
    </row>
    <row r="58" spans="3:5" ht="20" customHeight="1" x14ac:dyDescent="0.2">
      <c r="C58" s="78" t="str">
        <f>IF(ISBLANK(Plan!B54),"",Plan!B54)</f>
        <v>Diseño</v>
      </c>
      <c r="D58" s="78" t="str">
        <f>IF(ISBLANK(Plan!C54),"",Plan!C54)</f>
        <v>Diseñar pantallas</v>
      </c>
      <c r="E58" s="79" t="str">
        <f>IF(ISBLANK(Plan!B57),"",IF(Plan!N57&gt;0,Plan!N57,""))</f>
        <v/>
      </c>
    </row>
    <row r="59" spans="3:5" ht="20" customHeight="1" x14ac:dyDescent="0.2">
      <c r="C59" s="78" t="str">
        <f>IF(ISBLANK(Plan!B55),"",Plan!B55)</f>
        <v>Diseño</v>
      </c>
      <c r="D59" s="78" t="str">
        <f>IF(ISBLANK(Plan!C55),"",Plan!C55)</f>
        <v>Inspeccionar diseño (Q) y poner en línea base (GCS)</v>
      </c>
      <c r="E59" s="79" t="str">
        <f>IF(ISBLANK(Plan!B58),"",IF(Plan!N58&gt;0,Plan!N58,""))</f>
        <v/>
      </c>
    </row>
    <row r="60" spans="3:5" ht="20" customHeight="1" x14ac:dyDescent="0.2">
      <c r="C60" s="78" t="str">
        <f>IF(ISBLANK(Plan!B56),"",Plan!B56)</f>
        <v>Diseño</v>
      </c>
      <c r="D60" s="78" t="str">
        <f>IF(ISBLANK(Plan!C56),"",Plan!C56)</f>
        <v>Introducir datos de Planificación/Monitorización S6 (esfuerzo real / semana, US)</v>
      </c>
      <c r="E60" s="79" t="str">
        <f>IF(ISBLANK(Plan!B59),"",IF(Plan!N59&gt;0,Plan!N59,""))</f>
        <v/>
      </c>
    </row>
    <row r="61" spans="3:5" ht="20" customHeight="1" x14ac:dyDescent="0.2">
      <c r="C61" s="78" t="str">
        <f>IF(ISBLANK(Plan!B57),"",Plan!B57)</f>
        <v/>
      </c>
      <c r="D61" s="78" t="str">
        <f>IF(ISBLANK(Plan!C57),"",Plan!C57)</f>
        <v/>
      </c>
      <c r="E61" s="79" t="str">
        <f>IF(ISBLANK(Plan!B60),"",IF(Plan!N60&gt;0,Plan!N60,""))</f>
        <v/>
      </c>
    </row>
    <row r="62" spans="3:5" ht="20" customHeight="1" x14ac:dyDescent="0.2">
      <c r="C62" s="78" t="str">
        <f>IF(ISBLANK(Plan!B58),"",Plan!B58)</f>
        <v/>
      </c>
      <c r="D62" s="78" t="str">
        <f>IF(ISBLANK(Plan!C58),"",Plan!C58)</f>
        <v/>
      </c>
      <c r="E62" s="79" t="str">
        <f>IF(ISBLANK(Plan!B61),"",IF(Plan!N61&gt;0,Plan!N61,""))</f>
        <v/>
      </c>
    </row>
    <row r="63" spans="3:5" ht="20" customHeight="1" x14ac:dyDescent="0.2">
      <c r="C63" s="78" t="str">
        <f>IF(ISBLANK(Plan!B59),"",Plan!B59)</f>
        <v>Implementación</v>
      </c>
      <c r="D63" s="78" t="str">
        <f>IF(ISBLANK(Plan!C59),"",Plan!C59)</f>
        <v>Implementar BBDD</v>
      </c>
      <c r="E63" s="79" t="str">
        <f>IF(ISBLANK(Plan!B62),"",IF(Plan!N62&gt;0,Plan!N62,""))</f>
        <v/>
      </c>
    </row>
    <row r="64" spans="3:5" ht="20" customHeight="1" x14ac:dyDescent="0.2">
      <c r="C64" s="78" t="str">
        <f>IF(ISBLANK(Plan!B60),"",Plan!B60)</f>
        <v>Implementación</v>
      </c>
      <c r="D64" s="78" t="str">
        <f>IF(ISBLANK(Plan!C60),"",Plan!C60)</f>
        <v>Implementar pantallas</v>
      </c>
      <c r="E64" s="79" t="str">
        <f>IF(ISBLANK(Plan!B63),"",IF(Plan!N63&gt;0,Plan!N63,""))</f>
        <v/>
      </c>
    </row>
    <row r="65" spans="3:5" ht="20" customHeight="1" x14ac:dyDescent="0.2">
      <c r="C65" s="78" t="str">
        <f>IF(ISBLANK(Plan!B61),"",Plan!B61)</f>
        <v>Implementación</v>
      </c>
      <c r="D65" s="78" t="str">
        <f>IF(ISBLANK(Plan!C61),"",Plan!C61)</f>
        <v>Implementar US: Alta Vehículo</v>
      </c>
      <c r="E65" s="79" t="str">
        <f>IF(ISBLANK(Plan!B64),"",IF(Plan!N64&gt;0,Plan!N64,""))</f>
        <v/>
      </c>
    </row>
    <row r="66" spans="3:5" ht="20" customHeight="1" x14ac:dyDescent="0.2">
      <c r="C66" s="78" t="str">
        <f>IF(ISBLANK(Plan!B62),"",Plan!B62)</f>
        <v>Implementación</v>
      </c>
      <c r="D66" s="78" t="str">
        <f>IF(ISBLANK(Plan!C62),"",Plan!C62)</f>
        <v>Implementar US: Marcas</v>
      </c>
      <c r="E66" s="79" t="str">
        <f>IF(ISBLANK(Plan!B65),"",IF(Plan!N65&gt;0,Plan!N65,""))</f>
        <v/>
      </c>
    </row>
    <row r="67" spans="3:5" ht="20" customHeight="1" x14ac:dyDescent="0.2">
      <c r="C67" s="78" t="str">
        <f>IF(ISBLANK(Plan!B63),"",Plan!B63)</f>
        <v>Implementación</v>
      </c>
      <c r="D67" s="78" t="str">
        <f>IF(ISBLANK(Plan!C63),"",Plan!C63)</f>
        <v>Implementar US: Almacén</v>
      </c>
      <c r="E67" s="79" t="str">
        <f>IF(ISBLANK(Plan!B66),"",IF(Plan!N66&gt;0,Plan!N66,""))</f>
        <v/>
      </c>
    </row>
    <row r="68" spans="3:5" ht="20" customHeight="1" x14ac:dyDescent="0.2">
      <c r="C68" s="78" t="str">
        <f>IF(ISBLANK(Plan!B64),"",Plan!B64)</f>
        <v>Implementación</v>
      </c>
      <c r="D68" s="78" t="str">
        <f>IF(ISBLANK(Plan!C64),"",Plan!C64)</f>
        <v>Implementar US: Desplegables (Gamma, Marchas, Techos, Puertas)</v>
      </c>
      <c r="E68" s="79" t="str">
        <f>IF(ISBLANK(Plan!B67),"",IF(Plan!N67&gt;0,Plan!N67,""))</f>
        <v/>
      </c>
    </row>
    <row r="69" spans="3:5" ht="20" customHeight="1" x14ac:dyDescent="0.2">
      <c r="C69" s="78" t="str">
        <f>IF(ISBLANK(Plan!B65),"",Plan!B65)</f>
        <v>Implementación</v>
      </c>
      <c r="D69" s="78" t="str">
        <f>IF(ISBLANK(Plan!C65),"",Plan!C65)</f>
        <v>Implementar US: Listar coches (filtrado)</v>
      </c>
      <c r="E69" s="79" t="str">
        <f>IF(ISBLANK(Plan!B68),"",IF(Plan!N68&gt;0,Plan!N68,""))</f>
        <v/>
      </c>
    </row>
    <row r="70" spans="3:5" ht="20" customHeight="1" x14ac:dyDescent="0.2">
      <c r="C70" s="78" t="str">
        <f>IF(ISBLANK(Plan!B66),"",Plan!B66)</f>
        <v>Implementación</v>
      </c>
      <c r="D70" s="78" t="str">
        <f>IF(ISBLANK(Plan!C66),"",Plan!C66)</f>
        <v>Integrar historias de usuario del sprint</v>
      </c>
      <c r="E70" s="79" t="str">
        <f>IF(ISBLANK(Plan!B69),"",IF(Plan!N69&gt;0,Plan!N69,""))</f>
        <v/>
      </c>
    </row>
    <row r="71" spans="3:5" ht="20" customHeight="1" x14ac:dyDescent="0.2">
      <c r="C71" s="78" t="str">
        <f>IF(ISBLANK(Plan!B67),"",Plan!B67)</f>
        <v>Implementación</v>
      </c>
      <c r="D71" s="78" t="str">
        <f>IF(ISBLANK(Plan!C67),"",Plan!C67)</f>
        <v>Inspeccionar código (Q) y poner en línea base (GCS)</v>
      </c>
      <c r="E71" s="79" t="str">
        <f>IF(ISBLANK(Plan!B70),"",IF(Plan!N70&gt;0,Plan!N70,""))</f>
        <v/>
      </c>
    </row>
    <row r="72" spans="3:5" ht="20" customHeight="1" x14ac:dyDescent="0.2">
      <c r="C72" s="78" t="str">
        <f>IF(ISBLANK(Plan!B68),"",Plan!B68)</f>
        <v>Implementación</v>
      </c>
      <c r="D72" s="78" t="str">
        <f>IF(ISBLANK(Plan!C68),"",Plan!C68)</f>
        <v>Introducir datos de Planificación/Monitorización S7 (esfuerzo real / semana, US implementadas)</v>
      </c>
      <c r="E72" s="79" t="str">
        <f>IF(ISBLANK(Plan!B71),"",IF(Plan!N71&gt;0,Plan!N71,""))</f>
        <v/>
      </c>
    </row>
    <row r="73" spans="3:5" ht="20" customHeight="1" x14ac:dyDescent="0.2">
      <c r="C73" s="78" t="str">
        <f>IF(ISBLANK(Plan!B69),"",Plan!B69)</f>
        <v>Implementación</v>
      </c>
      <c r="D73" s="78" t="str">
        <f>IF(ISBLANK(Plan!C69),"",Plan!C69)</f>
        <v>Registrar datos de calidad S7: ejecucion, defectos y verificacion DoD</v>
      </c>
      <c r="E73" s="79" t="str">
        <f>IF(ISBLANK(Plan!B72),"",IF(Plan!N72&gt;0,Plan!N72,""))</f>
        <v/>
      </c>
    </row>
    <row r="74" spans="3:5" ht="20" customHeight="1" x14ac:dyDescent="0.2">
      <c r="C74" s="78" t="e">
        <f>IF(ISBLANK(Plan!#REF!),"",Plan!#REF!)</f>
        <v>#REF!</v>
      </c>
      <c r="D74" s="78" t="e">
        <f>IF(ISBLANK(Plan!#REF!),"",Plan!#REF!)</f>
        <v>#REF!</v>
      </c>
      <c r="E74" s="79" t="str">
        <f>IF(ISBLANK(Plan!B73),"",IF(Plan!N73&gt;0,Plan!N73,""))</f>
        <v/>
      </c>
    </row>
    <row r="75" spans="3:5" ht="21.25" customHeight="1" x14ac:dyDescent="0.2">
      <c r="C75" s="78" t="str">
        <f>IF(ISBLANK(Plan!B70),"",Plan!B70)</f>
        <v/>
      </c>
      <c r="D75" s="78" t="str">
        <f>IF(ISBLANK(Plan!C70),"",Plan!C70)</f>
        <v/>
      </c>
      <c r="E75" s="79" t="str">
        <f>IF(ISBLANK(Plan!B74),"",IF(Plan!N74&gt;0,Plan!N74,""))</f>
        <v/>
      </c>
    </row>
    <row r="76" spans="3:5" ht="21.25" customHeight="1" x14ac:dyDescent="0.2">
      <c r="C76" s="78" t="str">
        <f>IF(ISBLANK(Plan!B71),"",Plan!B71)</f>
        <v/>
      </c>
      <c r="D76" s="78" t="str">
        <f>IF(ISBLANK(Plan!C71),"",Plan!C71)</f>
        <v/>
      </c>
      <c r="E76" s="79" t="str">
        <f>IF(ISBLANK(Plan!B75),"",IF(Plan!N75&gt;0,Plan!N75,""))</f>
        <v/>
      </c>
    </row>
    <row r="77" spans="3:5" ht="21.25" customHeight="1" x14ac:dyDescent="0.2">
      <c r="C77" s="78" t="str">
        <f>IF(ISBLANK(Plan!B72),"",Plan!B72)</f>
        <v>Pruebas</v>
      </c>
      <c r="D77" s="78" t="str">
        <f>IF(ISBLANK(Plan!C72),"",Plan!C72)</f>
        <v>Definir casos de prueba unitarios y de aceptación por US</v>
      </c>
      <c r="E77" s="79" t="str">
        <f>IF(ISBLANK(Plan!B76),"",IF(Plan!N76&gt;0,Plan!N76,""))</f>
        <v/>
      </c>
    </row>
    <row r="78" spans="3:5" ht="21.25" customHeight="1" x14ac:dyDescent="0.2">
      <c r="C78" s="78" t="str">
        <f>IF(ISBLANK(Plan!B73),"",Plan!B73)</f>
        <v>Pruebas</v>
      </c>
      <c r="D78" s="78" t="str">
        <f>IF(ISBLANK(Plan!C73),"",Plan!C73)</f>
        <v>Ejecutar pruebas y registrar resultado esperado vs real y version</v>
      </c>
      <c r="E78" s="79" t="str">
        <f>IF(ISBLANK(Plan!B77),"",IF(Plan!N77&gt;0,Plan!N77,""))</f>
        <v/>
      </c>
    </row>
    <row r="79" spans="3:5" ht="21.25" customHeight="1" x14ac:dyDescent="0.2">
      <c r="C79" s="78" t="str">
        <f>IF(ISBLANK(Plan!B74),"",Plan!B74)</f>
        <v>Pruebas</v>
      </c>
      <c r="D79" s="78" t="str">
        <f>IF(ISBLANK(Plan!C74),"",Plan!C74)</f>
        <v>Inspeccionar registros de pruebas, enlazar evidencias y poner en linea base (Q/GCS)</v>
      </c>
      <c r="E79" s="79" t="str">
        <f>IF(ISBLANK(Plan!B78),"",IF(Plan!N78&gt;0,Plan!N78,""))</f>
        <v/>
      </c>
    </row>
    <row r="80" spans="3:5" ht="21.25" customHeight="1" x14ac:dyDescent="0.2">
      <c r="C80" s="78" t="str">
        <f>IF(ISBLANK(Plan!B75),"",Plan!B75)</f>
        <v>Pruebas</v>
      </c>
      <c r="D80" s="78" t="str">
        <f>IF(ISBLANK(Plan!C75),"",Plan!C75)</f>
        <v>Introducir datos de Planificación/Monitorización S8 (esfuerzo real / semana, US)</v>
      </c>
      <c r="E80" s="79" t="str">
        <f>IF(ISBLANK(Plan!B79),"",IF(Plan!N79&gt;0,Plan!N79,""))</f>
        <v/>
      </c>
    </row>
    <row r="81" spans="3:5" ht="21.25" customHeight="1" x14ac:dyDescent="0.2">
      <c r="C81" s="78" t="str">
        <f>IF(ISBLANK(Plan!B76),"",Plan!B76)</f>
        <v/>
      </c>
      <c r="D81" s="78" t="str">
        <f>IF(ISBLANK(Plan!C76),"",Plan!C76)</f>
        <v/>
      </c>
      <c r="E81" s="79" t="str">
        <f>IF(ISBLANK(Plan!B80),"",IF(Plan!N80&gt;0,Plan!N80,""))</f>
        <v/>
      </c>
    </row>
    <row r="82" spans="3:5" ht="21.25" customHeight="1" x14ac:dyDescent="0.2">
      <c r="C82" s="78" t="str">
        <f>IF(ISBLANK(Plan!B77),"",Plan!B77)</f>
        <v/>
      </c>
      <c r="D82" s="78" t="str">
        <f>IF(ISBLANK(Plan!C77),"",Plan!C77)</f>
        <v/>
      </c>
      <c r="E82" s="79" t="str">
        <f>IF(ISBLANK(Plan!B81),"",IF(Plan!N81&gt;0,Plan!N81,""))</f>
        <v/>
      </c>
    </row>
    <row r="83" spans="3:5" ht="21.25" customHeight="1" x14ac:dyDescent="0.2">
      <c r="C83" s="78" t="str">
        <f>IF(ISBLANK(Plan!B78),"",Plan!B78)</f>
        <v>Retrospectiva</v>
      </c>
      <c r="D83" s="78" t="str">
        <f>IF(ISBLANK(Plan!C78),"",Plan!C78)</f>
        <v>Realizar informe de retrospectiva del Sprint 1</v>
      </c>
      <c r="E83" s="79" t="str">
        <f>IF(ISBLANK(Plan!B82),"",IF(Plan!N82&gt;0,Plan!N82,""))</f>
        <v/>
      </c>
    </row>
    <row r="84" spans="3:5" ht="21.25" customHeight="1" x14ac:dyDescent="0.2">
      <c r="C84" s="78" t="str">
        <f>IF(ISBLANK(Plan!B79),"",Plan!B79)</f>
        <v>Retrospectiva</v>
      </c>
      <c r="D84" s="78" t="str">
        <f>IF(ISBLANK(Plan!C79),"",Plan!C79)</f>
        <v>Evaluar roles y equipo del Sprint 1</v>
      </c>
      <c r="E84" s="79" t="str">
        <f>IF(ISBLANK(Plan!B83),"",IF(Plan!N83&gt;0,Plan!N83,""))</f>
        <v/>
      </c>
    </row>
    <row r="85" spans="3:5" ht="21.25" customHeight="1" x14ac:dyDescent="0.2">
      <c r="C85" s="78" t="str">
        <f>IF(ISBLANK(Plan!B80),"",Plan!B80)</f>
        <v>Retrospectiva</v>
      </c>
      <c r="D85" s="78" t="str">
        <f>IF(ISBLANK(Plan!C80),"",Plan!C80)</f>
        <v>Revisar productos y procesos; dificultades, PF y PD</v>
      </c>
      <c r="E85" s="79" t="str">
        <f>IF(ISBLANK(Plan!B84),"",IF(Plan!N84&gt;0,Plan!N84,""))</f>
        <v/>
      </c>
    </row>
    <row r="86" spans="3:5" ht="21.25" customHeight="1" x14ac:dyDescent="0.2">
      <c r="C86" s="78" t="str">
        <f>IF(ISBLANK(Plan!B81),"",Plan!B81)</f>
        <v>Retrospectiva</v>
      </c>
      <c r="D86" s="78" t="str">
        <f>IF(ISBLANK(Plan!C81),"",Plan!C81)</f>
        <v>Retrospectiva STARFISH (Keep / More / Start / Stop / Less)</v>
      </c>
      <c r="E86" s="79" t="str">
        <f>IF(ISBLANK(Plan!B85),"",IF(Plan!N85&gt;0,Plan!N85,""))</f>
        <v/>
      </c>
    </row>
    <row r="87" spans="3:5" ht="21.25" customHeight="1" x14ac:dyDescent="0.2">
      <c r="C87" s="78" t="str">
        <f>IF(ISBLANK(Plan!B82),"",Plan!B82)</f>
        <v>Retrospectiva</v>
      </c>
      <c r="D87" s="78" t="str">
        <f>IF(ISBLANK(Plan!C82),"",Plan!C82)</f>
        <v>Introducir datos de Planificación/Monitorización S9</v>
      </c>
      <c r="E87" s="79" t="str">
        <f>IF(ISBLANK(Plan!B86),"",IF(Plan!N86&gt;0,Plan!N86,""))</f>
        <v/>
      </c>
    </row>
    <row r="88" spans="3:5" ht="21.25" customHeight="1" x14ac:dyDescent="0.2">
      <c r="C88" s="78" t="str">
        <f>IF(ISBLANK(Plan!B83),"",Plan!B83)</f>
        <v>Retrospectiva</v>
      </c>
      <c r="D88" s="78" t="str">
        <f>IF(ISBLANK(Plan!C83),"",Plan!C83)</f>
        <v>Lecciones aprendidas y mejoras al proceso</v>
      </c>
      <c r="E88" s="79" t="str">
        <f>IF(ISBLANK(Plan!B87),"",IF(Plan!N87&gt;0,Plan!N87,""))</f>
        <v/>
      </c>
    </row>
    <row r="89" spans="3:5" x14ac:dyDescent="0.2">
      <c r="E89" s="79" t="str">
        <f>IF(ISBLANK(Plan!B88),"",IF(Plan!N88&gt;0,Plan!N88,""))</f>
        <v/>
      </c>
    </row>
    <row r="90" spans="3:5" x14ac:dyDescent="0.2">
      <c r="E90" s="79" t="str">
        <f>IF(ISBLANK(Plan!B89),"",IF(Plan!N89&gt;0,Plan!N89,""))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L95"/>
  <sheetViews>
    <sheetView topLeftCell="A63" workbookViewId="0">
      <selection activeCell="E6" sqref="E6:E95"/>
    </sheetView>
  </sheetViews>
  <sheetFormatPr baseColWidth="10" defaultColWidth="8.83203125" defaultRowHeight="15" x14ac:dyDescent="0.2"/>
  <cols>
    <col min="3" max="3" width="14.83203125" customWidth="1"/>
    <col min="4" max="4" width="45.5" customWidth="1"/>
    <col min="5" max="5" width="16.33203125" customWidth="1"/>
    <col min="8" max="8" width="11" customWidth="1"/>
  </cols>
  <sheetData>
    <row r="2" spans="3:12" ht="20" customHeight="1" x14ac:dyDescent="0.2">
      <c r="C2" s="12" t="s">
        <v>107</v>
      </c>
      <c r="D2" s="13"/>
      <c r="G2" s="14" t="s">
        <v>102</v>
      </c>
    </row>
    <row r="3" spans="3:12" ht="20" customHeight="1" x14ac:dyDescent="0.2">
      <c r="D3" s="75" t="s">
        <v>103</v>
      </c>
      <c r="E3" s="76">
        <f>SUM(E6:E88)</f>
        <v>505</v>
      </c>
      <c r="G3" t="s">
        <v>104</v>
      </c>
    </row>
    <row r="5" spans="3:12" ht="42" customHeight="1" x14ac:dyDescent="0.2">
      <c r="C5" s="77" t="s">
        <v>1</v>
      </c>
      <c r="D5" s="77" t="s">
        <v>2</v>
      </c>
      <c r="E5" s="77" t="s">
        <v>105</v>
      </c>
      <c r="F5" s="9"/>
      <c r="G5" s="9"/>
      <c r="H5" s="9"/>
      <c r="I5" s="10"/>
      <c r="J5" s="10"/>
      <c r="K5" s="10"/>
      <c r="L5" s="10"/>
    </row>
    <row r="6" spans="3:12" ht="20" customHeight="1" x14ac:dyDescent="0.2">
      <c r="C6" s="78" t="str">
        <f>IF(ISBLANK(Plan!B5),"",Plan!B5)</f>
        <v>Lanzamiento</v>
      </c>
      <c r="D6" s="78" t="str">
        <f>IF(ISBLANK(Plan!C5),"",Plan!C5)</f>
        <v>Asignar equipos y roles</v>
      </c>
      <c r="E6" s="79">
        <f>IF(ISBLANK(Plan!B5),"",IF(Plan!O5&gt;0,Plan!O5,""))</f>
        <v>10</v>
      </c>
    </row>
    <row r="7" spans="3:12" ht="20" customHeight="1" x14ac:dyDescent="0.2">
      <c r="C7" s="78" t="str">
        <f>IF(ISBLANK(Plan!B6),"",Plan!B6)</f>
        <v>Lanzamiento</v>
      </c>
      <c r="D7" s="78" t="str">
        <f>IF(ISBLANK(Plan!C6),"",Plan!C6)</f>
        <v>Definir proceso de reuniones</v>
      </c>
      <c r="E7" s="79">
        <f>IF(ISBLANK(Plan!B6),"",IF(Plan!O6&gt;0,Plan!O6,""))</f>
        <v>20</v>
      </c>
    </row>
    <row r="8" spans="3:12" ht="20" customHeight="1" x14ac:dyDescent="0.2">
      <c r="C8" s="78" t="str">
        <f>IF(ISBLANK(Plan!B7),"",Plan!B7)</f>
        <v>Lanzamiento</v>
      </c>
      <c r="D8" s="78" t="str">
        <f>IF(ISBLANK(Plan!C7),"",Plan!C7)</f>
        <v>Realizar Estándar de Documentación</v>
      </c>
      <c r="E8" s="79" t="str">
        <f>IF(ISBLANK(Plan!B7),"",IF(Plan!O7&gt;0,Plan!O7,""))</f>
        <v/>
      </c>
    </row>
    <row r="9" spans="3:12" ht="20" customHeight="1" x14ac:dyDescent="0.2">
      <c r="C9" s="78" t="str">
        <f>IF(ISBLANK(Plan!B8),"",Plan!B8)</f>
        <v>Lanzamiento</v>
      </c>
      <c r="D9" s="78" t="str">
        <f>IF(ISBLANK(Plan!C8),"",Plan!C8)</f>
        <v>Realizar Estándar de Agendas</v>
      </c>
      <c r="E9" s="79">
        <f>IF(ISBLANK(Plan!B8),"",IF(Plan!O8&gt;0,Plan!O8,""))</f>
        <v>15</v>
      </c>
    </row>
    <row r="10" spans="3:12" ht="20" customHeight="1" x14ac:dyDescent="0.2">
      <c r="C10" s="78" t="str">
        <f>IF(ISBLANK(Plan!B9),"",Plan!B9)</f>
        <v>Lanzamiento</v>
      </c>
      <c r="D10" s="78" t="str">
        <f>IF(ISBLANK(Plan!C9),"",Plan!C9)</f>
        <v>Realizar Estándar de Actas</v>
      </c>
      <c r="E10" s="79" t="str">
        <f>IF(ISBLANK(Plan!B9),"",IF(Plan!O9&gt;0,Plan!O9,""))</f>
        <v/>
      </c>
    </row>
    <row r="11" spans="3:12" ht="20" customHeight="1" x14ac:dyDescent="0.2">
      <c r="C11" s="78" t="str">
        <f>IF(ISBLANK(Plan!B10),"",Plan!B10)</f>
        <v>Lanzamiento</v>
      </c>
      <c r="D11" s="78" t="str">
        <f>IF(ISBLANK(Plan!C10),"",Plan!C10)</f>
        <v>Definir Ciclo de Vida a aplicar (actividades)</v>
      </c>
      <c r="E11" s="79">
        <f>IF(ISBLANK(Plan!B10),"",IF(Plan!O10&gt;0,Plan!O10,""))</f>
        <v>15</v>
      </c>
    </row>
    <row r="12" spans="3:12" ht="20" customHeight="1" x14ac:dyDescent="0.2">
      <c r="C12" s="78" t="str">
        <f>IF(ISBLANK(Plan!B11),"",Plan!B11)</f>
        <v>Lanzamiento</v>
      </c>
      <c r="D12" s="78" t="str">
        <f>IF(ISBLANK(Plan!C11),"",Plan!C11)</f>
        <v>Definir outputs y plantillas del CV</v>
      </c>
      <c r="E12" s="79" t="str">
        <f>IF(ISBLANK(Plan!B11),"",IF(Plan!O11&gt;0,Plan!O11,""))</f>
        <v/>
      </c>
    </row>
    <row r="13" spans="3:12" ht="20" customHeight="1" x14ac:dyDescent="0.2">
      <c r="C13" s="78" t="str">
        <f>IF(ISBLANK(Plan!B12),"",Plan!B12)</f>
        <v>Lanzamiento</v>
      </c>
      <c r="D13" s="78" t="str">
        <f>IF(ISBLANK(Plan!C12),"",Plan!C12)</f>
        <v>Definir Entorno de Desarrollo</v>
      </c>
      <c r="E13" s="79">
        <f>IF(ISBLANK(Plan!B12),"",IF(Plan!O12&gt;0,Plan!O12,""))</f>
        <v>20</v>
      </c>
    </row>
    <row r="14" spans="3:12" ht="20" customHeight="1" x14ac:dyDescent="0.2">
      <c r="C14" s="78" t="str">
        <f>IF(ISBLANK(Plan!B13),"",Plan!B13)</f>
        <v>Lanzamiento</v>
      </c>
      <c r="D14" s="78" t="str">
        <f>IF(ISBLANK(Plan!C13),"",Plan!C13)</f>
        <v>Configurar Entorno de Desarrollo</v>
      </c>
      <c r="E14" s="79" t="str">
        <f>IF(ISBLANK(Plan!B13),"",IF(Plan!O13&gt;0,Plan!O13,""))</f>
        <v/>
      </c>
    </row>
    <row r="15" spans="3:12" ht="20" customHeight="1" x14ac:dyDescent="0.2">
      <c r="C15" s="78" t="str">
        <f>IF(ISBLANK(Plan!B14),"",Plan!B14)</f>
        <v>Lanzamiento</v>
      </c>
      <c r="D15" s="78" t="str">
        <f>IF(ISBLANK(Plan!C14),"",Plan!C14)</f>
        <v>Definir Estándar de Codificación</v>
      </c>
      <c r="E15" s="79">
        <f>IF(ISBLANK(Plan!B14),"",IF(Plan!O14&gt;0,Plan!O14,""))</f>
        <v>15</v>
      </c>
    </row>
    <row r="16" spans="3:12" ht="20" customHeight="1" x14ac:dyDescent="0.2">
      <c r="C16" s="78"/>
      <c r="D16" s="78"/>
      <c r="E16" s="79">
        <f>IF(ISBLANK(Plan!B15),"",IF(Plan!O15&gt;0,Plan!O15,""))</f>
        <v>5</v>
      </c>
    </row>
    <row r="17" spans="3:5" ht="20" customHeight="1" x14ac:dyDescent="0.2">
      <c r="C17" s="78"/>
      <c r="D17" s="78"/>
      <c r="E17" s="79" t="str">
        <f>IF(ISBLANK(Plan!B16),"",IF(Plan!O16&gt;0,Plan!O16,""))</f>
        <v/>
      </c>
    </row>
    <row r="18" spans="3:5" ht="20" customHeight="1" x14ac:dyDescent="0.2">
      <c r="C18" s="78" t="str">
        <f>IF(ISBLANK(Plan!B15),"",Plan!B15)</f>
        <v>Lanzamiento</v>
      </c>
      <c r="D18" s="78" t="str">
        <f>IF(ISBLANK(Plan!C15),"",Plan!C15)</f>
        <v>Introducir datos de Planificación/Monitorización S1 (esfuerzo real / semana)</v>
      </c>
      <c r="E18" s="79" t="str">
        <f>IF(ISBLANK(Plan!B17),"",IF(Plan!O17&gt;0,Plan!O17,""))</f>
        <v/>
      </c>
    </row>
    <row r="19" spans="3:5" ht="20" customHeight="1" x14ac:dyDescent="0.2">
      <c r="C19" s="78" t="str">
        <f>IF(ISBLANK(Plan!B16),"",Plan!B16)</f>
        <v/>
      </c>
      <c r="D19" s="78" t="str">
        <f>IF(ISBLANK(Plan!C16),"",Plan!C16)</f>
        <v/>
      </c>
      <c r="E19" s="79" t="str">
        <f>IF(ISBLANK(Plan!B18),"",IF(Plan!O18&gt;0,Plan!O18,""))</f>
        <v/>
      </c>
    </row>
    <row r="20" spans="3:5" ht="20" customHeight="1" x14ac:dyDescent="0.2">
      <c r="C20" s="78" t="str">
        <f>IF(ISBLANK(Plan!B17),"",Plan!B17)</f>
        <v/>
      </c>
      <c r="D20" s="78" t="str">
        <f>IF(ISBLANK(Plan!C17),"",Plan!C17)</f>
        <v/>
      </c>
      <c r="E20" s="79">
        <f>IF(ISBLANK(Plan!B19),"",IF(Plan!O19&gt;0,Plan!O19,""))</f>
        <v>30</v>
      </c>
    </row>
    <row r="21" spans="3:5" ht="20" customHeight="1" x14ac:dyDescent="0.2">
      <c r="C21" s="78" t="str">
        <f>IF(ISBLANK(Plan!B18),"",Plan!B18)</f>
        <v/>
      </c>
      <c r="D21" s="78" t="str">
        <f>IF(ISBLANK(Plan!C18),"",Plan!C18)</f>
        <v/>
      </c>
      <c r="E21" s="79">
        <f>IF(ISBLANK(Plan!B20),"",IF(Plan!O20&gt;0,Plan!O20,""))</f>
        <v>5</v>
      </c>
    </row>
    <row r="22" spans="3:5" ht="20" customHeight="1" x14ac:dyDescent="0.2">
      <c r="C22" s="78" t="str">
        <f>IF(ISBLANK(Plan!B19),"",Plan!B19)</f>
        <v>Requisitos</v>
      </c>
      <c r="D22" s="78" t="str">
        <f>IF(ISBLANK(Plan!C19),"",Plan!C19)</f>
        <v>Obtener Historias de Usuario (US)</v>
      </c>
      <c r="E22" s="79" t="str">
        <f>IF(ISBLANK(Plan!B21),"",IF(Plan!O21&gt;0,Plan!O21,""))</f>
        <v/>
      </c>
    </row>
    <row r="23" spans="3:5" ht="20" customHeight="1" x14ac:dyDescent="0.2">
      <c r="C23" s="78" t="str">
        <f>IF(ISBLANK(Plan!B20),"",Plan!B20)</f>
        <v>Requisitos</v>
      </c>
      <c r="D23" s="78" t="str">
        <f>IF(ISBLANK(Plan!C20),"",Plan!C20)</f>
        <v>Describir las US según plantilla (Como/Quiero/Para + criterios de aceptación)</v>
      </c>
      <c r="E23" s="79">
        <f>IF(ISBLANK(Plan!B22),"",IF(Plan!O22&gt;0,Plan!O22,""))</f>
        <v>10</v>
      </c>
    </row>
    <row r="24" spans="3:5" ht="20" customHeight="1" x14ac:dyDescent="0.2">
      <c r="C24" s="78" t="str">
        <f>IF(ISBLANK(Plan!B21),"",Plan!B21)</f>
        <v>Requisitos</v>
      </c>
      <c r="D24" s="78" t="str">
        <f>IF(ISBLANK(Plan!C21),"",Plan!C21)</f>
        <v>Completar campos de US para puntos de función</v>
      </c>
      <c r="E24" s="79">
        <f>IF(ISBLANK(Plan!B23),"",IF(Plan!O23&gt;0,Plan!O23,""))</f>
        <v>60</v>
      </c>
    </row>
    <row r="25" spans="3:5" ht="20" customHeight="1" x14ac:dyDescent="0.2">
      <c r="C25" s="78" t="str">
        <f>IF(ISBLANK(Plan!B22),"",Plan!B22)</f>
        <v>Requisitos</v>
      </c>
      <c r="D25" s="78" t="str">
        <f>IF(ISBLANK(Plan!C22),"",Plan!C22)</f>
        <v>Elaborar Product Backlog priorizado</v>
      </c>
      <c r="E25" s="79">
        <f>IF(ISBLANK(Plan!B24),"",IF(Plan!O24&gt;0,Plan!O24,""))</f>
        <v>5</v>
      </c>
    </row>
    <row r="26" spans="3:5" ht="20" customHeight="1" x14ac:dyDescent="0.2">
      <c r="C26" s="78" t="str">
        <f>IF(ISBLANK(Plan!B23),"",Plan!B23)</f>
        <v>Requisitos</v>
      </c>
      <c r="D26" s="78" t="str">
        <f>IF(ISBLANK(Plan!C23),"",Plan!C23)</f>
        <v>Inspeccionar las US y criterios de aceptacion (Q)</v>
      </c>
      <c r="E26" s="79" t="str">
        <f>IF(ISBLANK(Plan!B25),"",IF(Plan!O25&gt;0,Plan!O25,""))</f>
        <v/>
      </c>
    </row>
    <row r="27" spans="3:5" ht="20" customHeight="1" x14ac:dyDescent="0.2">
      <c r="C27" s="78" t="str">
        <f>IF(ISBLANK(Plan!B24),"",Plan!B24)</f>
        <v>Requisitos</v>
      </c>
      <c r="D27" s="78" t="str">
        <f>IF(ISBLANK(Plan!C24),"",Plan!C24)</f>
        <v>Poner en línea base las US (GCS)</v>
      </c>
      <c r="E27" s="79">
        <f>IF(ISBLANK(Plan!B26),"",IF(Plan!O26&gt;0,Plan!O26,""))</f>
        <v>10</v>
      </c>
    </row>
    <row r="28" spans="3:5" ht="20" customHeight="1" x14ac:dyDescent="0.2">
      <c r="C28" s="78" t="str">
        <f>IF(ISBLANK(Plan!B25),"",Plan!B25)</f>
        <v>Requisitos</v>
      </c>
      <c r="D28" s="78" t="str">
        <f>IF(ISBLANK(Plan!C25),"",Plan!C25)</f>
        <v>Introducir datos de Planificación/Monitorización(esfuerzo real / semana) S3</v>
      </c>
      <c r="E28" s="79" t="str">
        <f>IF(ISBLANK(Plan!B27),"",IF(Plan!O27&gt;0,Plan!O27,""))</f>
        <v/>
      </c>
    </row>
    <row r="29" spans="3:5" ht="20" customHeight="1" x14ac:dyDescent="0.2">
      <c r="C29" s="78" t="str">
        <f>IF(ISBLANK(Plan!B26),"",Plan!B26)</f>
        <v>Requisitos</v>
      </c>
      <c r="D29" s="78" t="str">
        <f>IF(ISBLANK(Plan!C26),"",Plan!C26)</f>
        <v>Registrar datos de calidad S3</v>
      </c>
      <c r="E29" s="79" t="str">
        <f>IF(ISBLANK(Plan!B28),"",IF(Plan!O28&gt;0,Plan!O28,""))</f>
        <v/>
      </c>
    </row>
    <row r="30" spans="3:5" ht="20" customHeight="1" x14ac:dyDescent="0.2">
      <c r="C30" s="78" t="str">
        <f>IF(ISBLANK(Plan!B27),"",Plan!B27)</f>
        <v/>
      </c>
      <c r="D30" s="78" t="str">
        <f>IF(ISBLANK(Plan!C27),"",Plan!C27)</f>
        <v/>
      </c>
      <c r="E30" s="79" t="str">
        <f>IF(ISBLANK(Plan!B29),"",IF(Plan!O29&gt;0,Plan!O29,""))</f>
        <v/>
      </c>
    </row>
    <row r="31" spans="3:5" ht="20" customHeight="1" x14ac:dyDescent="0.2">
      <c r="C31" s="78" t="str">
        <f>IF(ISBLANK(Plan!B28),"",Plan!B28)</f>
        <v/>
      </c>
      <c r="D31" s="78" t="str">
        <f>IF(ISBLANK(Plan!C28),"",Plan!C28)</f>
        <v/>
      </c>
      <c r="E31" s="79" t="str">
        <f>IF(ISBLANK(Plan!B30),"",IF(Plan!O30&gt;0,Plan!O30,""))</f>
        <v/>
      </c>
    </row>
    <row r="32" spans="3:5" ht="20" customHeight="1" x14ac:dyDescent="0.2">
      <c r="C32" s="78" t="str">
        <f>IF(ISBLANK(Plan!B29),"",Plan!B29)</f>
        <v/>
      </c>
      <c r="D32" s="78" t="str">
        <f>IF(ISBLANK(Plan!C29),"",Plan!C29)</f>
        <v/>
      </c>
      <c r="E32" s="79">
        <f>IF(ISBLANK(Plan!B31),"",IF(Plan!O31&gt;0,Plan!O31,""))</f>
        <v>10</v>
      </c>
    </row>
    <row r="33" spans="3:5" ht="20" customHeight="1" x14ac:dyDescent="0.2">
      <c r="C33" s="78" t="str">
        <f>IF(ISBLANK(Plan!B30),"",Plan!B30)</f>
        <v/>
      </c>
      <c r="D33" s="78" t="str">
        <f>IF(ISBLANK(Plan!C30),"",Plan!C30)</f>
        <v/>
      </c>
      <c r="E33" s="79" t="str">
        <f>IF(ISBLANK(Plan!B32),"",IF(Plan!O32&gt;0,Plan!O32,""))</f>
        <v/>
      </c>
    </row>
    <row r="34" spans="3:5" ht="20" customHeight="1" x14ac:dyDescent="0.2">
      <c r="C34" s="78" t="str">
        <f>IF(ISBLANK(Plan!B31),"",Plan!B31)</f>
        <v>Estrategia</v>
      </c>
      <c r="D34" s="78" t="str">
        <f>IF(ISBLANK(Plan!C31),"",Plan!C31)</f>
        <v>Estimar Puntos de Función sobre las US</v>
      </c>
      <c r="E34" s="79">
        <f>IF(ISBLANK(Plan!B33),"",IF(Plan!O33&gt;0,Plan!O33,""))</f>
        <v>10</v>
      </c>
    </row>
    <row r="35" spans="3:5" ht="20" customHeight="1" x14ac:dyDescent="0.2">
      <c r="C35" s="78" t="str">
        <f>IF(ISBLANK(Plan!B32),"",Plan!B32)</f>
        <v>Estrategia</v>
      </c>
      <c r="D35" s="78" t="str">
        <f>IF(ISBLANK(Plan!C32),"",Plan!C32)</f>
        <v>Calcular esfuerzo (horas)</v>
      </c>
      <c r="E35" s="79" t="str">
        <f>IF(ISBLANK(Plan!B34),"",IF(Plan!O34&gt;0,Plan!O34,""))</f>
        <v/>
      </c>
    </row>
    <row r="36" spans="3:5" ht="20" customHeight="1" x14ac:dyDescent="0.2">
      <c r="C36" s="78" t="str">
        <f>IF(ISBLANK(Plan!B33),"",Plan!B33)</f>
        <v>Estrategia</v>
      </c>
      <c r="D36" s="78" t="str">
        <f>IF(ISBLANK(Plan!C33),"",Plan!C33)</f>
        <v>Establecer estrategia de desarrollo (US Sprint 1 y Sprint 2)</v>
      </c>
      <c r="E36" s="79">
        <f>IF(ISBLANK(Plan!B35),"",IF(Plan!O35&gt;0,Plan!O35,""))</f>
        <v>15</v>
      </c>
    </row>
    <row r="37" spans="3:5" ht="20" customHeight="1" x14ac:dyDescent="0.2">
      <c r="C37" s="78" t="str">
        <f>IF(ISBLANK(Plan!B34),"",Plan!B34)</f>
        <v>Estrategia</v>
      </c>
      <c r="D37" s="78" t="str">
        <f>IF(ISBLANK(Plan!C34),"",Plan!C34)</f>
        <v>Elaborar documento de Estrategia</v>
      </c>
      <c r="E37" s="79">
        <f>IF(ISBLANK(Plan!B36),"",IF(Plan!O36&gt;0,Plan!O36,""))</f>
        <v>120</v>
      </c>
    </row>
    <row r="38" spans="3:5" ht="20" customHeight="1" x14ac:dyDescent="0.2">
      <c r="C38" s="78" t="str">
        <f>IF(ISBLANK(Plan!B35),"",Plan!B35)</f>
        <v>Estrategia</v>
      </c>
      <c r="D38" s="78" t="str">
        <f>IF(ISBLANK(Plan!C35),"",Plan!C35)</f>
        <v>Elaborar Sprint Backlog con Sprint Goal y tareas de calidad</v>
      </c>
      <c r="E38" s="79">
        <f>IF(ISBLANK(Plan!B37),"",IF(Plan!O37&gt;0,Plan!O37,""))</f>
        <v>15</v>
      </c>
    </row>
    <row r="39" spans="3:5" ht="20" customHeight="1" x14ac:dyDescent="0.2">
      <c r="C39" s="78" t="str">
        <f>IF(ISBLANK(Plan!B36),"",Plan!B36)</f>
        <v>Estrategia</v>
      </c>
      <c r="D39" s="78" t="str">
        <f>IF(ISBLANK(Plan!C36),"",Plan!C36)</f>
        <v>Inspeccionar outputs de Estrategia (Q)</v>
      </c>
      <c r="E39" s="79">
        <f>IF(ISBLANK(Plan!B38),"",IF(Plan!O38&gt;0,Plan!O38,""))</f>
        <v>10</v>
      </c>
    </row>
    <row r="40" spans="3:5" ht="20" customHeight="1" x14ac:dyDescent="0.2">
      <c r="C40" s="78" t="str">
        <f>IF(ISBLANK(Plan!B37),"",Plan!B37)</f>
        <v>Estrategia</v>
      </c>
      <c r="D40" s="78" t="str">
        <f>IF(ISBLANK(Plan!C37),"",Plan!C37)</f>
        <v>Poner en línea base Estrategia y Sprint Backlog (GCS)</v>
      </c>
      <c r="E40" s="79">
        <f>IF(ISBLANK(Plan!B39),"",IF(Plan!O39&gt;0,Plan!O39,""))</f>
        <v>5</v>
      </c>
    </row>
    <row r="41" spans="3:5" ht="20" customHeight="1" x14ac:dyDescent="0.2">
      <c r="C41" s="78" t="str">
        <f>IF(ISBLANK(Plan!B38),"",Plan!B38)</f>
        <v>Estrategia</v>
      </c>
      <c r="D41" s="78" t="str">
        <f>IF(ISBLANK(Plan!C38),"",Plan!C38)</f>
        <v>Introducir datos de Planificación/Monitorización S4 (esfuerzo real / semana)</v>
      </c>
      <c r="E41" s="79" t="str">
        <f>IF(ISBLANK(Plan!B40),"",IF(Plan!O40&gt;0,Plan!O40,""))</f>
        <v/>
      </c>
    </row>
    <row r="42" spans="3:5" ht="20" customHeight="1" x14ac:dyDescent="0.2">
      <c r="C42" s="78" t="str">
        <f>IF(ISBLANK(Plan!B39),"",Plan!B39)</f>
        <v>Estrategia</v>
      </c>
      <c r="D42" s="78" t="str">
        <f>IF(ISBLANK(Plan!C39),"",Plan!C39)</f>
        <v>Registrar datos de calidad S4</v>
      </c>
      <c r="E42" s="79" t="str">
        <f>IF(ISBLANK(Plan!B41),"",IF(Plan!O41&gt;0,Plan!O41,""))</f>
        <v/>
      </c>
    </row>
    <row r="43" spans="3:5" ht="20" customHeight="1" x14ac:dyDescent="0.2">
      <c r="C43" s="78" t="str">
        <f>IF(ISBLANK(Plan!B40),"",Plan!B40)</f>
        <v/>
      </c>
      <c r="D43" s="78" t="str">
        <f>IF(ISBLANK(Plan!C40),"",Plan!C40)</f>
        <v/>
      </c>
      <c r="E43" s="79" t="str">
        <f>IF(ISBLANK(Plan!B42),"",IF(Plan!O42&gt;0,Plan!O42,""))</f>
        <v/>
      </c>
    </row>
    <row r="44" spans="3:5" ht="20" customHeight="1" x14ac:dyDescent="0.2">
      <c r="C44" s="78" t="str">
        <f>IF(ISBLANK(Plan!B41),"",Plan!B41)</f>
        <v/>
      </c>
      <c r="D44" s="78" t="str">
        <f>IF(ISBLANK(Plan!C41),"",Plan!C41)</f>
        <v/>
      </c>
      <c r="E44" s="79">
        <f>IF(ISBLANK(Plan!B43),"",IF(Plan!O43&gt;0,Plan!O43,""))</f>
        <v>5</v>
      </c>
    </row>
    <row r="45" spans="3:5" ht="20" customHeight="1" x14ac:dyDescent="0.2">
      <c r="C45" s="78" t="str">
        <f>IF(ISBLANK(Plan!B42),"",Plan!B42)</f>
        <v/>
      </c>
      <c r="D45" s="78" t="str">
        <f>IF(ISBLANK(Plan!C42),"",Plan!C42)</f>
        <v/>
      </c>
      <c r="E45" s="79" t="str">
        <f>IF(ISBLANK(Plan!B44),"",IF(Plan!O44&gt;0,Plan!O44,""))</f>
        <v/>
      </c>
    </row>
    <row r="46" spans="3:5" ht="20" customHeight="1" x14ac:dyDescent="0.2">
      <c r="C46" s="78" t="str">
        <f>IF(ISBLANK(Plan!B43),"",Plan!B43)</f>
        <v>Planificación</v>
      </c>
      <c r="D46" s="78" t="str">
        <f>IF(ISBLANK(Plan!C43),"",Plan!C43)</f>
        <v>Realizar Plan de Gestión de Configuración (PGCS)</v>
      </c>
      <c r="E46" s="79">
        <f>IF(ISBLANK(Plan!B45),"",IF(Plan!O45&gt;0,Plan!O45,""))</f>
        <v>10</v>
      </c>
    </row>
    <row r="47" spans="3:5" ht="20" customHeight="1" x14ac:dyDescent="0.2">
      <c r="C47" s="78" t="str">
        <f>IF(ISBLANK(Plan!B44),"",Plan!B44)</f>
        <v>Planificación</v>
      </c>
      <c r="D47" s="78" t="str">
        <f>IF(ISBLANK(Plan!C44),"",Plan!C44)</f>
        <v>Realizar Plan de Calidad, DoD y matriz de evidencias</v>
      </c>
      <c r="E47" s="79">
        <f>IF(ISBLANK(Plan!B46),"",IF(Plan!O46&gt;0,Plan!O46,""))</f>
        <v>10</v>
      </c>
    </row>
    <row r="48" spans="3:5" ht="20" customHeight="1" x14ac:dyDescent="0.2">
      <c r="C48" s="78" t="str">
        <f>IF(ISBLANK(Plan!B45),"",Plan!B45)</f>
        <v>Planificación</v>
      </c>
      <c r="D48" s="78" t="str">
        <f>IF(ISBLANK(Plan!C45),"",Plan!C45)</f>
        <v>Realizar Plan de Proyecto del Sprint 1</v>
      </c>
      <c r="E48" s="79" t="str">
        <f>IF(ISBLANK(Plan!B47),"",IF(Plan!O47&gt;0,Plan!O47,""))</f>
        <v/>
      </c>
    </row>
    <row r="49" spans="3:5" ht="20" customHeight="1" x14ac:dyDescent="0.2">
      <c r="C49" s="78" t="str">
        <f>IF(ISBLANK(Plan!B46),"",Plan!B46)</f>
        <v>Planificación</v>
      </c>
      <c r="D49" s="78" t="str">
        <f>IF(ISBLANK(Plan!C46),"",Plan!C46)</f>
        <v>Realizar Diagrama de Gantt del Sprint 1</v>
      </c>
      <c r="E49" s="79">
        <f>IF(ISBLANK(Plan!B48),"",IF(Plan!O48&gt;0,Plan!O48,""))</f>
        <v>5</v>
      </c>
    </row>
    <row r="50" spans="3:5" ht="20" customHeight="1" x14ac:dyDescent="0.2">
      <c r="C50" s="78" t="e">
        <f>IF(ISBLANK(Plan!#REF!),"",Plan!#REF!)</f>
        <v>#REF!</v>
      </c>
      <c r="D50" s="78" t="e">
        <f>IF(ISBLANK(Plan!#REF!),"",Plan!#REF!)</f>
        <v>#REF!</v>
      </c>
      <c r="E50" s="79" t="str">
        <f>IF(ISBLANK(Plan!B49),"",IF(Plan!O49&gt;0,Plan!O49,""))</f>
        <v/>
      </c>
    </row>
    <row r="51" spans="3:5" ht="20" customHeight="1" x14ac:dyDescent="0.2">
      <c r="C51" s="78" t="str">
        <f>IF(ISBLANK(Plan!B47),"",Plan!B47)</f>
        <v>Planificación</v>
      </c>
      <c r="D51" s="78" t="str">
        <f>IF(ISBLANK(Plan!C47),"",Plan!C47)</f>
        <v>Inspeccionar planes (Q) y poner en línea base (GCS)</v>
      </c>
      <c r="E51" s="79" t="str">
        <f>IF(ISBLANK(Plan!B50),"",IF(Plan!O50&gt;0,Plan!O50,""))</f>
        <v/>
      </c>
    </row>
    <row r="52" spans="3:5" ht="20" customHeight="1" x14ac:dyDescent="0.2">
      <c r="C52" s="78" t="str">
        <f>IF(ISBLANK(Plan!B48),"",Plan!B48)</f>
        <v>Planificación</v>
      </c>
      <c r="D52" s="78" t="str">
        <f>IF(ISBLANK(Plan!C48),"",Plan!C48)</f>
        <v>Introducir datos de Planificación/Monitorización S5 (esfuerzo real / semana)</v>
      </c>
      <c r="E52" s="79" t="str">
        <f>IF(ISBLANK(Plan!B51),"",IF(Plan!O51&gt;0,Plan!O51,""))</f>
        <v/>
      </c>
    </row>
    <row r="53" spans="3:5" ht="20" customHeight="1" x14ac:dyDescent="0.2">
      <c r="C53" s="78" t="str">
        <f>IF(ISBLANK(Plan!B49),"",Plan!B49)</f>
        <v>Planificación</v>
      </c>
      <c r="D53" s="78" t="str">
        <f>IF(ISBLANK(Plan!C49),"",Plan!C49)</f>
        <v>Registrar datos de calidad S5: revisiones, pruebas y defectos</v>
      </c>
      <c r="E53" s="79">
        <f>IF(ISBLANK(Plan!B52),"",IF(Plan!O52&gt;0,Plan!O52,""))</f>
        <v>5</v>
      </c>
    </row>
    <row r="54" spans="3:5" ht="20" customHeight="1" x14ac:dyDescent="0.2">
      <c r="C54" s="78" t="str">
        <f>IF(ISBLANK(Plan!B50),"",Plan!B50)</f>
        <v/>
      </c>
      <c r="D54" s="78" t="str">
        <f>IF(ISBLANK(Plan!C50),"",Plan!C50)</f>
        <v/>
      </c>
      <c r="E54" s="79" t="str">
        <f>IF(ISBLANK(Plan!B53),"",IF(Plan!O53&gt;0,Plan!O53,""))</f>
        <v/>
      </c>
    </row>
    <row r="55" spans="3:5" ht="20" customHeight="1" x14ac:dyDescent="0.2">
      <c r="C55" s="78" t="str">
        <f>IF(ISBLANK(Plan!B51),"",Plan!B51)</f>
        <v/>
      </c>
      <c r="D55" s="78" t="str">
        <f>IF(ISBLANK(Plan!C51),"",Plan!C51)</f>
        <v/>
      </c>
      <c r="E55" s="79" t="str">
        <f>IF(ISBLANK(Plan!B54),"",IF(Plan!O54&gt;0,Plan!O54,""))</f>
        <v/>
      </c>
    </row>
    <row r="56" spans="3:5" ht="20" customHeight="1" x14ac:dyDescent="0.2">
      <c r="C56" s="78" t="str">
        <f>IF(ISBLANK(Plan!B52),"",Plan!B52)</f>
        <v>Diseño</v>
      </c>
      <c r="D56" s="78" t="str">
        <f>IF(ISBLANK(Plan!C52),"",Plan!C52)</f>
        <v>Realizar diagramas de Casos de Uso</v>
      </c>
      <c r="E56" s="79">
        <f>IF(ISBLANK(Plan!B55),"",IF(Plan!O55&gt;0,Plan!O55,""))</f>
        <v>5</v>
      </c>
    </row>
    <row r="57" spans="3:5" ht="20" customHeight="1" x14ac:dyDescent="0.2">
      <c r="C57" s="78" t="str">
        <f>IF(ISBLANK(Plan!B53),"",Plan!B53)</f>
        <v>Diseño</v>
      </c>
      <c r="D57" s="78" t="str">
        <f>IF(ISBLANK(Plan!C53),"",Plan!C53)</f>
        <v>Realizar modelo Entidad/Relación y BBDD</v>
      </c>
      <c r="E57" s="79">
        <f>IF(ISBLANK(Plan!B56),"",IF(Plan!O56&gt;0,Plan!O56,""))</f>
        <v>60</v>
      </c>
    </row>
    <row r="58" spans="3:5" ht="20" customHeight="1" x14ac:dyDescent="0.2">
      <c r="C58" s="78" t="str">
        <f>IF(ISBLANK(Plan!B54),"",Plan!B54)</f>
        <v>Diseño</v>
      </c>
      <c r="D58" s="78" t="str">
        <f>IF(ISBLANK(Plan!C54),"",Plan!C54)</f>
        <v>Diseñar pantallas</v>
      </c>
      <c r="E58" s="79" t="str">
        <f>IF(ISBLANK(Plan!B57),"",IF(Plan!O57&gt;0,Plan!O57,""))</f>
        <v/>
      </c>
    </row>
    <row r="59" spans="3:5" ht="20" customHeight="1" x14ac:dyDescent="0.2">
      <c r="C59" s="78" t="str">
        <f>IF(ISBLANK(Plan!B55),"",Plan!B55)</f>
        <v>Diseño</v>
      </c>
      <c r="D59" s="78" t="str">
        <f>IF(ISBLANK(Plan!C55),"",Plan!C55)</f>
        <v>Inspeccionar diseño (Q) y poner en línea base (GCS)</v>
      </c>
      <c r="E59" s="79" t="str">
        <f>IF(ISBLANK(Plan!B58),"",IF(Plan!O58&gt;0,Plan!O58,""))</f>
        <v/>
      </c>
    </row>
    <row r="60" spans="3:5" ht="20" customHeight="1" x14ac:dyDescent="0.2">
      <c r="C60" s="78" t="str">
        <f>IF(ISBLANK(Plan!B56),"",Plan!B56)</f>
        <v>Diseño</v>
      </c>
      <c r="D60" s="78" t="str">
        <f>IF(ISBLANK(Plan!C56),"",Plan!C56)</f>
        <v>Introducir datos de Planificación/Monitorización S6 (esfuerzo real / semana, US)</v>
      </c>
      <c r="E60" s="79" t="str">
        <f>IF(ISBLANK(Plan!B59),"",IF(Plan!O59&gt;0,Plan!O59,""))</f>
        <v/>
      </c>
    </row>
    <row r="61" spans="3:5" ht="20" customHeight="1" x14ac:dyDescent="0.2">
      <c r="C61" s="78" t="str">
        <f>IF(ISBLANK(Plan!B57),"",Plan!B57)</f>
        <v/>
      </c>
      <c r="D61" s="78" t="str">
        <f>IF(ISBLANK(Plan!C57),"",Plan!C57)</f>
        <v/>
      </c>
      <c r="E61" s="79" t="str">
        <f>IF(ISBLANK(Plan!B60),"",IF(Plan!O60&gt;0,Plan!O60,""))</f>
        <v/>
      </c>
    </row>
    <row r="62" spans="3:5" ht="20" customHeight="1" x14ac:dyDescent="0.2">
      <c r="C62" s="78" t="str">
        <f>IF(ISBLANK(Plan!B58),"",Plan!B58)</f>
        <v/>
      </c>
      <c r="D62" s="78" t="str">
        <f>IF(ISBLANK(Plan!C58),"",Plan!C58)</f>
        <v/>
      </c>
      <c r="E62" s="79" t="str">
        <f>IF(ISBLANK(Plan!B61),"",IF(Plan!O61&gt;0,Plan!O61,""))</f>
        <v/>
      </c>
    </row>
    <row r="63" spans="3:5" ht="20" customHeight="1" x14ac:dyDescent="0.2">
      <c r="C63" s="78" t="str">
        <f>IF(ISBLANK(Plan!B59),"",Plan!B59)</f>
        <v>Implementación</v>
      </c>
      <c r="D63" s="78" t="str">
        <f>IF(ISBLANK(Plan!C59),"",Plan!C59)</f>
        <v>Implementar BBDD</v>
      </c>
      <c r="E63" s="79" t="str">
        <f>IF(ISBLANK(Plan!B62),"",IF(Plan!O62&gt;0,Plan!O62,""))</f>
        <v/>
      </c>
    </row>
    <row r="64" spans="3:5" ht="20" customHeight="1" x14ac:dyDescent="0.2">
      <c r="C64" s="78" t="str">
        <f>IF(ISBLANK(Plan!B60),"",Plan!B60)</f>
        <v>Implementación</v>
      </c>
      <c r="D64" s="78" t="str">
        <f>IF(ISBLANK(Plan!C60),"",Plan!C60)</f>
        <v>Implementar pantallas</v>
      </c>
      <c r="E64" s="79" t="str">
        <f>IF(ISBLANK(Plan!B63),"",IF(Plan!O63&gt;0,Plan!O63,""))</f>
        <v/>
      </c>
    </row>
    <row r="65" spans="3:5" ht="20" customHeight="1" x14ac:dyDescent="0.2">
      <c r="C65" s="78" t="str">
        <f>IF(ISBLANK(Plan!B61),"",Plan!B61)</f>
        <v>Implementación</v>
      </c>
      <c r="D65" s="78" t="str">
        <f>IF(ISBLANK(Plan!C61),"",Plan!C61)</f>
        <v>Implementar US: Alta Vehículo</v>
      </c>
      <c r="E65" s="79" t="str">
        <f>IF(ISBLANK(Plan!B64),"",IF(Plan!O64&gt;0,Plan!O64,""))</f>
        <v/>
      </c>
    </row>
    <row r="66" spans="3:5" ht="20" customHeight="1" x14ac:dyDescent="0.2">
      <c r="C66" s="78" t="str">
        <f>IF(ISBLANK(Plan!B62),"",Plan!B62)</f>
        <v>Implementación</v>
      </c>
      <c r="D66" s="78" t="str">
        <f>IF(ISBLANK(Plan!C62),"",Plan!C62)</f>
        <v>Implementar US: Marcas</v>
      </c>
      <c r="E66" s="79" t="str">
        <f>IF(ISBLANK(Plan!B65),"",IF(Plan!O65&gt;0,Plan!O65,""))</f>
        <v/>
      </c>
    </row>
    <row r="67" spans="3:5" ht="20" customHeight="1" x14ac:dyDescent="0.2">
      <c r="C67" s="78" t="str">
        <f>IF(ISBLANK(Plan!B63),"",Plan!B63)</f>
        <v>Implementación</v>
      </c>
      <c r="D67" s="78" t="str">
        <f>IF(ISBLANK(Plan!C63),"",Plan!C63)</f>
        <v>Implementar US: Almacén</v>
      </c>
      <c r="E67" s="79" t="str">
        <f>IF(ISBLANK(Plan!B66),"",IF(Plan!O66&gt;0,Plan!O66,""))</f>
        <v/>
      </c>
    </row>
    <row r="68" spans="3:5" ht="20" customHeight="1" x14ac:dyDescent="0.2">
      <c r="C68" s="78" t="str">
        <f>IF(ISBLANK(Plan!B64),"",Plan!B64)</f>
        <v>Implementación</v>
      </c>
      <c r="D68" s="78" t="str">
        <f>IF(ISBLANK(Plan!C64),"",Plan!C64)</f>
        <v>Implementar US: Desplegables (Gamma, Marchas, Techos, Puertas)</v>
      </c>
      <c r="E68" s="79" t="str">
        <f>IF(ISBLANK(Plan!B67),"",IF(Plan!O67&gt;0,Plan!O67,""))</f>
        <v/>
      </c>
    </row>
    <row r="69" spans="3:5" ht="20" customHeight="1" x14ac:dyDescent="0.2">
      <c r="C69" s="78" t="str">
        <f>IF(ISBLANK(Plan!B65),"",Plan!B65)</f>
        <v>Implementación</v>
      </c>
      <c r="D69" s="78" t="str">
        <f>IF(ISBLANK(Plan!C65),"",Plan!C65)</f>
        <v>Implementar US: Listar coches (filtrado)</v>
      </c>
      <c r="E69" s="79" t="str">
        <f>IF(ISBLANK(Plan!B68),"",IF(Plan!O68&gt;0,Plan!O68,""))</f>
        <v/>
      </c>
    </row>
    <row r="70" spans="3:5" ht="20" customHeight="1" x14ac:dyDescent="0.2">
      <c r="C70" s="78" t="str">
        <f>IF(ISBLANK(Plan!B66),"",Plan!B66)</f>
        <v>Implementación</v>
      </c>
      <c r="D70" s="78" t="str">
        <f>IF(ISBLANK(Plan!C66),"",Plan!C66)</f>
        <v>Integrar historias de usuario del sprint</v>
      </c>
      <c r="E70" s="79" t="str">
        <f>IF(ISBLANK(Plan!B69),"",IF(Plan!O69&gt;0,Plan!O69,""))</f>
        <v/>
      </c>
    </row>
    <row r="71" spans="3:5" ht="20" customHeight="1" x14ac:dyDescent="0.2">
      <c r="C71" s="78" t="str">
        <f>IF(ISBLANK(Plan!B67),"",Plan!B67)</f>
        <v>Implementación</v>
      </c>
      <c r="D71" s="78" t="str">
        <f>IF(ISBLANK(Plan!C67),"",Plan!C67)</f>
        <v>Inspeccionar código (Q) y poner en línea base (GCS)</v>
      </c>
      <c r="E71" s="79" t="str">
        <f>IF(ISBLANK(Plan!B70),"",IF(Plan!O70&gt;0,Plan!O70,""))</f>
        <v/>
      </c>
    </row>
    <row r="72" spans="3:5" ht="20" customHeight="1" x14ac:dyDescent="0.2">
      <c r="C72" s="78" t="str">
        <f>IF(ISBLANK(Plan!B68),"",Plan!B68)</f>
        <v>Implementación</v>
      </c>
      <c r="D72" s="78" t="str">
        <f>IF(ISBLANK(Plan!C68),"",Plan!C68)</f>
        <v>Introducir datos de Planificación/Monitorización S7 (esfuerzo real / semana, US implementadas)</v>
      </c>
      <c r="E72" s="79" t="str">
        <f>IF(ISBLANK(Plan!B71),"",IF(Plan!O71&gt;0,Plan!O71,""))</f>
        <v/>
      </c>
    </row>
    <row r="73" spans="3:5" ht="20" customHeight="1" x14ac:dyDescent="0.2">
      <c r="C73" s="78" t="str">
        <f>IF(ISBLANK(Plan!B69),"",Plan!B69)</f>
        <v>Implementación</v>
      </c>
      <c r="D73" s="78" t="str">
        <f>IF(ISBLANK(Plan!C69),"",Plan!C69)</f>
        <v>Registrar datos de calidad S7: ejecucion, defectos y verificacion DoD</v>
      </c>
      <c r="E73" s="79" t="str">
        <f>IF(ISBLANK(Plan!B72),"",IF(Plan!O72&gt;0,Plan!O72,""))</f>
        <v/>
      </c>
    </row>
    <row r="74" spans="3:5" ht="20" customHeight="1" x14ac:dyDescent="0.2">
      <c r="C74" s="78" t="e">
        <f>IF(ISBLANK(Plan!#REF!),"",Plan!#REF!)</f>
        <v>#REF!</v>
      </c>
      <c r="D74" s="78" t="e">
        <f>IF(ISBLANK(Plan!#REF!),"",Plan!#REF!)</f>
        <v>#REF!</v>
      </c>
      <c r="E74" s="79" t="str">
        <f>IF(ISBLANK(Plan!B73),"",IF(Plan!O73&gt;0,Plan!O73,""))</f>
        <v/>
      </c>
    </row>
    <row r="75" spans="3:5" ht="21.25" customHeight="1" x14ac:dyDescent="0.2">
      <c r="C75" s="78" t="str">
        <f>IF(ISBLANK(Plan!B70),"",Plan!B70)</f>
        <v/>
      </c>
      <c r="D75" s="78" t="str">
        <f>IF(ISBLANK(Plan!C70),"",Plan!C70)</f>
        <v/>
      </c>
      <c r="E75" s="79" t="str">
        <f>IF(ISBLANK(Plan!B74),"",IF(Plan!O74&gt;0,Plan!O74,""))</f>
        <v/>
      </c>
    </row>
    <row r="76" spans="3:5" ht="21.25" customHeight="1" x14ac:dyDescent="0.2">
      <c r="C76" s="78" t="str">
        <f>IF(ISBLANK(Plan!B71),"",Plan!B71)</f>
        <v/>
      </c>
      <c r="D76" s="78" t="str">
        <f>IF(ISBLANK(Plan!C71),"",Plan!C71)</f>
        <v/>
      </c>
      <c r="E76" s="79" t="str">
        <f>IF(ISBLANK(Plan!B75),"",IF(Plan!O75&gt;0,Plan!O75,""))</f>
        <v/>
      </c>
    </row>
    <row r="77" spans="3:5" ht="21.25" customHeight="1" x14ac:dyDescent="0.2">
      <c r="C77" s="78" t="str">
        <f>IF(ISBLANK(Plan!B72),"",Plan!B72)</f>
        <v>Pruebas</v>
      </c>
      <c r="D77" s="78" t="str">
        <f>IF(ISBLANK(Plan!C72),"",Plan!C72)</f>
        <v>Definir casos de prueba unitarios y de aceptación por US</v>
      </c>
      <c r="E77" s="79" t="str">
        <f>IF(ISBLANK(Plan!B76),"",IF(Plan!O76&gt;0,Plan!O76,""))</f>
        <v/>
      </c>
    </row>
    <row r="78" spans="3:5" ht="21.25" customHeight="1" x14ac:dyDescent="0.2">
      <c r="C78" s="78" t="str">
        <f>IF(ISBLANK(Plan!B73),"",Plan!B73)</f>
        <v>Pruebas</v>
      </c>
      <c r="D78" s="78" t="str">
        <f>IF(ISBLANK(Plan!C73),"",Plan!C73)</f>
        <v>Ejecutar pruebas y registrar resultado esperado vs real y version</v>
      </c>
      <c r="E78" s="79" t="str">
        <f>IF(ISBLANK(Plan!B77),"",IF(Plan!O77&gt;0,Plan!O77,""))</f>
        <v/>
      </c>
    </row>
    <row r="79" spans="3:5" ht="21.25" customHeight="1" x14ac:dyDescent="0.2">
      <c r="C79" s="78" t="str">
        <f>IF(ISBLANK(Plan!B74),"",Plan!B74)</f>
        <v>Pruebas</v>
      </c>
      <c r="D79" s="78" t="str">
        <f>IF(ISBLANK(Plan!C74),"",Plan!C74)</f>
        <v>Inspeccionar registros de pruebas, enlazar evidencias y poner en linea base (Q/GCS)</v>
      </c>
      <c r="E79" s="79" t="str">
        <f>IF(ISBLANK(Plan!B78),"",IF(Plan!O78&gt;0,Plan!O78,""))</f>
        <v/>
      </c>
    </row>
    <row r="80" spans="3:5" ht="21.25" customHeight="1" x14ac:dyDescent="0.2">
      <c r="C80" s="78" t="str">
        <f>IF(ISBLANK(Plan!B75),"",Plan!B75)</f>
        <v>Pruebas</v>
      </c>
      <c r="D80" s="78" t="str">
        <f>IF(ISBLANK(Plan!C75),"",Plan!C75)</f>
        <v>Introducir datos de Planificación/Monitorización S8 (esfuerzo real / semana, US)</v>
      </c>
      <c r="E80" s="79" t="str">
        <f>IF(ISBLANK(Plan!B79),"",IF(Plan!O79&gt;0,Plan!O79,""))</f>
        <v/>
      </c>
    </row>
    <row r="81" spans="3:5" ht="21.25" customHeight="1" x14ac:dyDescent="0.2">
      <c r="C81" s="78" t="str">
        <f>IF(ISBLANK(Plan!B76),"",Plan!B76)</f>
        <v/>
      </c>
      <c r="D81" s="78" t="str">
        <f>IF(ISBLANK(Plan!C76),"",Plan!C76)</f>
        <v/>
      </c>
      <c r="E81" s="79" t="str">
        <f>IF(ISBLANK(Plan!B80),"",IF(Plan!O80&gt;0,Plan!O80,""))</f>
        <v/>
      </c>
    </row>
    <row r="82" spans="3:5" ht="21.25" customHeight="1" x14ac:dyDescent="0.2">
      <c r="C82" s="78" t="str">
        <f>IF(ISBLANK(Plan!B77),"",Plan!B77)</f>
        <v/>
      </c>
      <c r="D82" s="78" t="str">
        <f>IF(ISBLANK(Plan!C77),"",Plan!C77)</f>
        <v/>
      </c>
      <c r="E82" s="79" t="str">
        <f>IF(ISBLANK(Plan!B81),"",IF(Plan!O81&gt;0,Plan!O81,""))</f>
        <v/>
      </c>
    </row>
    <row r="83" spans="3:5" ht="21.25" customHeight="1" x14ac:dyDescent="0.2">
      <c r="C83" s="78" t="str">
        <f>IF(ISBLANK(Plan!B78),"",Plan!B78)</f>
        <v>Retrospectiva</v>
      </c>
      <c r="D83" s="78" t="str">
        <f>IF(ISBLANK(Plan!C78),"",Plan!C78)</f>
        <v>Realizar informe de retrospectiva del Sprint 1</v>
      </c>
      <c r="E83" s="79" t="str">
        <f>IF(ISBLANK(Plan!B82),"",IF(Plan!O82&gt;0,Plan!O82,""))</f>
        <v/>
      </c>
    </row>
    <row r="84" spans="3:5" ht="21.25" customHeight="1" x14ac:dyDescent="0.2">
      <c r="C84" s="78" t="str">
        <f>IF(ISBLANK(Plan!B79),"",Plan!B79)</f>
        <v>Retrospectiva</v>
      </c>
      <c r="D84" s="78" t="str">
        <f>IF(ISBLANK(Plan!C79),"",Plan!C79)</f>
        <v>Evaluar roles y equipo del Sprint 1</v>
      </c>
      <c r="E84" s="79" t="str">
        <f>IF(ISBLANK(Plan!B83),"",IF(Plan!O83&gt;0,Plan!O83,""))</f>
        <v/>
      </c>
    </row>
    <row r="85" spans="3:5" ht="21.25" customHeight="1" x14ac:dyDescent="0.2">
      <c r="C85" s="78" t="str">
        <f>IF(ISBLANK(Plan!B80),"",Plan!B80)</f>
        <v>Retrospectiva</v>
      </c>
      <c r="D85" s="78" t="str">
        <f>IF(ISBLANK(Plan!C80),"",Plan!C80)</f>
        <v>Revisar productos y procesos; dificultades, PF y PD</v>
      </c>
      <c r="E85" s="79" t="str">
        <f>IF(ISBLANK(Plan!B84),"",IF(Plan!O84&gt;0,Plan!O84,""))</f>
        <v/>
      </c>
    </row>
    <row r="86" spans="3:5" ht="21.25" customHeight="1" x14ac:dyDescent="0.2">
      <c r="C86" s="78" t="str">
        <f>IF(ISBLANK(Plan!B81),"",Plan!B81)</f>
        <v>Retrospectiva</v>
      </c>
      <c r="D86" s="78" t="str">
        <f>IF(ISBLANK(Plan!C81),"",Plan!C81)</f>
        <v>Retrospectiva STARFISH (Keep / More / Start / Stop / Less)</v>
      </c>
      <c r="E86" s="79" t="str">
        <f>IF(ISBLANK(Plan!B85),"",IF(Plan!O85&gt;0,Plan!O85,""))</f>
        <v/>
      </c>
    </row>
    <row r="87" spans="3:5" ht="21.25" customHeight="1" x14ac:dyDescent="0.2">
      <c r="C87" s="78" t="str">
        <f>IF(ISBLANK(Plan!B82),"",Plan!B82)</f>
        <v>Retrospectiva</v>
      </c>
      <c r="D87" s="78" t="str">
        <f>IF(ISBLANK(Plan!C82),"",Plan!C82)</f>
        <v>Introducir datos de Planificación/Monitorización S9</v>
      </c>
      <c r="E87" s="79" t="str">
        <f>IF(ISBLANK(Plan!B86),"",IF(Plan!O86&gt;0,Plan!O86,""))</f>
        <v/>
      </c>
    </row>
    <row r="88" spans="3:5" ht="21.25" customHeight="1" x14ac:dyDescent="0.2">
      <c r="C88" s="78" t="str">
        <f>IF(ISBLANK(Plan!B83),"",Plan!B83)</f>
        <v>Retrospectiva</v>
      </c>
      <c r="D88" s="78" t="str">
        <f>IF(ISBLANK(Plan!C83),"",Plan!C83)</f>
        <v>Lecciones aprendidas y mejoras al proceso</v>
      </c>
      <c r="E88" s="79" t="str">
        <f>IF(ISBLANK(Plan!B87),"",IF(Plan!O87&gt;0,Plan!O87,""))</f>
        <v/>
      </c>
    </row>
    <row r="89" spans="3:5" x14ac:dyDescent="0.2">
      <c r="E89" s="79" t="str">
        <f>IF(ISBLANK(Plan!B88),"",IF(Plan!O88&gt;0,Plan!O88,""))</f>
        <v/>
      </c>
    </row>
    <row r="90" spans="3:5" x14ac:dyDescent="0.2">
      <c r="E90" s="79" t="str">
        <f>IF(ISBLANK(Plan!B89),"",IF(Plan!O89&gt;0,Plan!O89,""))</f>
        <v/>
      </c>
    </row>
    <row r="91" spans="3:5" x14ac:dyDescent="0.2">
      <c r="E91" s="79" t="str">
        <f>IF(ISBLANK(Plan!B90),"",IF(Plan!O90&gt;0,Plan!O90,""))</f>
        <v/>
      </c>
    </row>
    <row r="92" spans="3:5" x14ac:dyDescent="0.2">
      <c r="E92" s="79" t="str">
        <f>IF(ISBLANK(Plan!B91),"",IF(Plan!O91&gt;0,Plan!O91,""))</f>
        <v/>
      </c>
    </row>
    <row r="93" spans="3:5" x14ac:dyDescent="0.2">
      <c r="E93" s="79" t="str">
        <f>IF(ISBLANK(Plan!B92),"",IF(Plan!O92&gt;0,Plan!O92,""))</f>
        <v/>
      </c>
    </row>
    <row r="94" spans="3:5" x14ac:dyDescent="0.2">
      <c r="E94" s="79" t="str">
        <f>IF(ISBLANK(Plan!B93),"",IF(Plan!O93&gt;0,Plan!O93,""))</f>
        <v/>
      </c>
    </row>
    <row r="95" spans="3:5" x14ac:dyDescent="0.2">
      <c r="E95" s="79" t="str">
        <f>IF(ISBLANK(Plan!B94),"",IF(Plan!O94&gt;0,Plan!O94,""))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2:L88"/>
  <sheetViews>
    <sheetView workbookViewId="0"/>
  </sheetViews>
  <sheetFormatPr baseColWidth="10" defaultColWidth="8.83203125" defaultRowHeight="15" x14ac:dyDescent="0.2"/>
  <cols>
    <col min="3" max="3" width="14.83203125" customWidth="1"/>
    <col min="4" max="4" width="45.5" customWidth="1"/>
    <col min="5" max="5" width="16.33203125" customWidth="1"/>
    <col min="8" max="8" width="11" customWidth="1"/>
  </cols>
  <sheetData>
    <row r="2" spans="3:12" ht="20" customHeight="1" x14ac:dyDescent="0.2">
      <c r="C2" s="17" t="s">
        <v>108</v>
      </c>
      <c r="D2" s="18"/>
      <c r="G2" s="14" t="s">
        <v>102</v>
      </c>
    </row>
    <row r="3" spans="3:12" ht="20" customHeight="1" x14ac:dyDescent="0.2">
      <c r="D3" s="75" t="s">
        <v>103</v>
      </c>
      <c r="E3" s="76" t="e">
        <f>SUM(E6:E88)</f>
        <v>#REF!</v>
      </c>
      <c r="G3" t="s">
        <v>104</v>
      </c>
    </row>
    <row r="5" spans="3:12" ht="42" customHeight="1" x14ac:dyDescent="0.2">
      <c r="C5" s="77" t="s">
        <v>1</v>
      </c>
      <c r="D5" s="77" t="s">
        <v>2</v>
      </c>
      <c r="E5" s="77" t="s">
        <v>105</v>
      </c>
      <c r="F5" s="9"/>
      <c r="G5" s="9"/>
      <c r="H5" s="9"/>
      <c r="I5" s="10"/>
      <c r="J5" s="10"/>
      <c r="K5" s="10"/>
      <c r="L5" s="10"/>
    </row>
    <row r="6" spans="3:12" ht="20" customHeight="1" x14ac:dyDescent="0.2">
      <c r="C6" s="78" t="str">
        <f>IF(ISBLANK(Plan!B5),"",Plan!B5)</f>
        <v>Lanzamiento</v>
      </c>
      <c r="D6" s="78" t="str">
        <f>IF(ISBLANK(Plan!C5),"",Plan!C5)</f>
        <v>Asignar equipos y roles</v>
      </c>
      <c r="E6" s="79">
        <f>IF(ISBLANK(Plan!B5),"",IF(Plan!P5&gt;0,Plan!P5,""))</f>
        <v>10</v>
      </c>
    </row>
    <row r="7" spans="3:12" ht="20" customHeight="1" x14ac:dyDescent="0.2">
      <c r="C7" s="78" t="str">
        <f>IF(ISBLANK(Plan!B6),"",Plan!B6)</f>
        <v>Lanzamiento</v>
      </c>
      <c r="D7" s="78" t="str">
        <f>IF(ISBLANK(Plan!C6),"",Plan!C6)</f>
        <v>Definir proceso de reuniones</v>
      </c>
      <c r="E7" s="79">
        <f>IF(ISBLANK(Plan!B6),"",IF(Plan!P6&gt;0,Plan!P6,""))</f>
        <v>20</v>
      </c>
    </row>
    <row r="8" spans="3:12" ht="20" customHeight="1" x14ac:dyDescent="0.2">
      <c r="C8" s="78" t="str">
        <f>IF(ISBLANK(Plan!B7),"",Plan!B7)</f>
        <v>Lanzamiento</v>
      </c>
      <c r="D8" s="78" t="str">
        <f>IF(ISBLANK(Plan!C7),"",Plan!C7)</f>
        <v>Realizar Estándar de Documentación</v>
      </c>
      <c r="E8" s="79" t="str">
        <f>IF(ISBLANK(Plan!B7),"",IF(Plan!P7&gt;0,Plan!P7,""))</f>
        <v/>
      </c>
    </row>
    <row r="9" spans="3:12" ht="20" customHeight="1" x14ac:dyDescent="0.2">
      <c r="C9" s="78" t="str">
        <f>IF(ISBLANK(Plan!B8),"",Plan!B8)</f>
        <v>Lanzamiento</v>
      </c>
      <c r="D9" s="78" t="str">
        <f>IF(ISBLANK(Plan!C8),"",Plan!C8)</f>
        <v>Realizar Estándar de Agendas</v>
      </c>
      <c r="E9" s="79">
        <f>IF(ISBLANK(Plan!B8),"",IF(Plan!P8&gt;0,Plan!P8,""))</f>
        <v>15</v>
      </c>
    </row>
    <row r="10" spans="3:12" ht="20" customHeight="1" x14ac:dyDescent="0.2">
      <c r="C10" s="78" t="str">
        <f>IF(ISBLANK(Plan!B9),"",Plan!B9)</f>
        <v>Lanzamiento</v>
      </c>
      <c r="D10" s="78" t="str">
        <f>IF(ISBLANK(Plan!C9),"",Plan!C9)</f>
        <v>Realizar Estándar de Actas</v>
      </c>
      <c r="E10" s="79" t="str">
        <f>IF(ISBLANK(Plan!B9),"",IF(Plan!P9&gt;0,Plan!P9,""))</f>
        <v/>
      </c>
    </row>
    <row r="11" spans="3:12" ht="20" customHeight="1" x14ac:dyDescent="0.2">
      <c r="C11" s="78" t="str">
        <f>IF(ISBLANK(Plan!B10),"",Plan!B10)</f>
        <v>Lanzamiento</v>
      </c>
      <c r="D11" s="78" t="str">
        <f>IF(ISBLANK(Plan!C10),"",Plan!C10)</f>
        <v>Definir Ciclo de Vida a aplicar (actividades)</v>
      </c>
      <c r="E11" s="79">
        <f>IF(ISBLANK(Plan!B10),"",IF(Plan!P10&gt;0,Plan!P10,""))</f>
        <v>15</v>
      </c>
    </row>
    <row r="12" spans="3:12" ht="20" customHeight="1" x14ac:dyDescent="0.2">
      <c r="C12" s="78" t="str">
        <f>IF(ISBLANK(Plan!B11),"",Plan!B11)</f>
        <v>Lanzamiento</v>
      </c>
      <c r="D12" s="78" t="str">
        <f>IF(ISBLANK(Plan!C11),"",Plan!C11)</f>
        <v>Definir outputs y plantillas del CV</v>
      </c>
      <c r="E12" s="79" t="str">
        <f>IF(ISBLANK(Plan!B11),"",IF(Plan!P11&gt;0,Plan!P11,""))</f>
        <v/>
      </c>
    </row>
    <row r="13" spans="3:12" ht="20" customHeight="1" x14ac:dyDescent="0.2">
      <c r="C13" s="78" t="str">
        <f>IF(ISBLANK(Plan!B12),"",Plan!B12)</f>
        <v>Lanzamiento</v>
      </c>
      <c r="D13" s="78" t="str">
        <f>IF(ISBLANK(Plan!C12),"",Plan!C12)</f>
        <v>Definir Entorno de Desarrollo</v>
      </c>
      <c r="E13" s="79">
        <f>IF(ISBLANK(Plan!B12),"",IF(Plan!P12&gt;0,Plan!P12,""))</f>
        <v>20</v>
      </c>
    </row>
    <row r="14" spans="3:12" ht="20" customHeight="1" x14ac:dyDescent="0.2">
      <c r="C14" s="78" t="str">
        <f>IF(ISBLANK(Plan!B13),"",Plan!B13)</f>
        <v>Lanzamiento</v>
      </c>
      <c r="D14" s="78" t="str">
        <f>IF(ISBLANK(Plan!C13),"",Plan!C13)</f>
        <v>Configurar Entorno de Desarrollo</v>
      </c>
      <c r="E14" s="79" t="str">
        <f>IF(ISBLANK(Plan!B13),"",IF(Plan!P13&gt;0,Plan!P13,""))</f>
        <v/>
      </c>
    </row>
    <row r="15" spans="3:12" ht="20" customHeight="1" x14ac:dyDescent="0.2">
      <c r="C15" s="78" t="str">
        <f>IF(ISBLANK(Plan!B14),"",Plan!B14)</f>
        <v>Lanzamiento</v>
      </c>
      <c r="D15" s="78" t="str">
        <f>IF(ISBLANK(Plan!C14),"",Plan!C14)</f>
        <v>Definir Estándar de Codificación</v>
      </c>
      <c r="E15" s="79">
        <f>IF(ISBLANK(Plan!B14),"",IF(Plan!P14&gt;0,Plan!P14,""))</f>
        <v>15</v>
      </c>
    </row>
    <row r="16" spans="3:12" ht="20" customHeight="1" x14ac:dyDescent="0.2">
      <c r="C16" s="78"/>
      <c r="D16" s="78"/>
      <c r="E16" s="79"/>
    </row>
    <row r="17" spans="3:5" ht="20" customHeight="1" x14ac:dyDescent="0.2">
      <c r="C17" s="78"/>
      <c r="D17" s="78"/>
      <c r="E17" s="79"/>
    </row>
    <row r="18" spans="3:5" ht="20" customHeight="1" x14ac:dyDescent="0.2">
      <c r="C18" s="78" t="str">
        <f>IF(ISBLANK(Plan!B15),"",Plan!B15)</f>
        <v>Lanzamiento</v>
      </c>
      <c r="D18" s="78" t="str">
        <f>IF(ISBLANK(Plan!C15),"",Plan!C15)</f>
        <v>Introducir datos de Planificación/Monitorización S1 (esfuerzo real / semana)</v>
      </c>
      <c r="E18" s="79">
        <f>IF(ISBLANK(Plan!B15),"",IF(Plan!P15&gt;0,Plan!P15,""))</f>
        <v>5</v>
      </c>
    </row>
    <row r="19" spans="3:5" ht="20" customHeight="1" x14ac:dyDescent="0.2">
      <c r="C19" s="78" t="str">
        <f>IF(ISBLANK(Plan!B16),"",Plan!B16)</f>
        <v/>
      </c>
      <c r="D19" s="78" t="str">
        <f>IF(ISBLANK(Plan!C16),"",Plan!C16)</f>
        <v/>
      </c>
      <c r="E19" s="79" t="str">
        <f>IF(ISBLANK(Plan!B16),"",IF(Plan!P16&gt;0,Plan!P16,""))</f>
        <v/>
      </c>
    </row>
    <row r="20" spans="3:5" ht="20" customHeight="1" x14ac:dyDescent="0.2">
      <c r="C20" s="78" t="str">
        <f>IF(ISBLANK(Plan!B17),"",Plan!B17)</f>
        <v/>
      </c>
      <c r="D20" s="78" t="str">
        <f>IF(ISBLANK(Plan!C17),"",Plan!C17)</f>
        <v/>
      </c>
      <c r="E20" s="79" t="str">
        <f>IF(ISBLANK(Plan!B17),"",IF(Plan!P17&gt;0,Plan!P17,""))</f>
        <v/>
      </c>
    </row>
    <row r="21" spans="3:5" ht="20" customHeight="1" x14ac:dyDescent="0.2">
      <c r="C21" s="78" t="str">
        <f>IF(ISBLANK(Plan!B18),"",Plan!B18)</f>
        <v/>
      </c>
      <c r="D21" s="78" t="str">
        <f>IF(ISBLANK(Plan!C18),"",Plan!C18)</f>
        <v/>
      </c>
      <c r="E21" s="79" t="str">
        <f>IF(ISBLANK(Plan!B18),"",IF(Plan!P18&gt;0,Plan!P18,""))</f>
        <v/>
      </c>
    </row>
    <row r="22" spans="3:5" ht="20" customHeight="1" x14ac:dyDescent="0.2">
      <c r="C22" s="78" t="str">
        <f>IF(ISBLANK(Plan!B19),"",Plan!B19)</f>
        <v>Requisitos</v>
      </c>
      <c r="D22" s="78" t="str">
        <f>IF(ISBLANK(Plan!C19),"",Plan!C19)</f>
        <v>Obtener Historias de Usuario (US)</v>
      </c>
      <c r="E22" s="79">
        <f>IF(ISBLANK(Plan!B19),"",IF(Plan!P19&gt;0,Plan!P19,""))</f>
        <v>30</v>
      </c>
    </row>
    <row r="23" spans="3:5" ht="20" customHeight="1" x14ac:dyDescent="0.2">
      <c r="C23" s="78" t="str">
        <f>IF(ISBLANK(Plan!B20),"",Plan!B20)</f>
        <v>Requisitos</v>
      </c>
      <c r="D23" s="78" t="str">
        <f>IF(ISBLANK(Plan!C20),"",Plan!C20)</f>
        <v>Describir las US según plantilla (Como/Quiero/Para + criterios de aceptación)</v>
      </c>
      <c r="E23" s="79">
        <f>IF(ISBLANK(Plan!B20),"",IF(Plan!P20&gt;0,Plan!P20,""))</f>
        <v>5</v>
      </c>
    </row>
    <row r="24" spans="3:5" ht="20" customHeight="1" x14ac:dyDescent="0.2">
      <c r="C24" s="78" t="str">
        <f>IF(ISBLANK(Plan!B21),"",Plan!B21)</f>
        <v>Requisitos</v>
      </c>
      <c r="D24" s="78" t="str">
        <f>IF(ISBLANK(Plan!C21),"",Plan!C21)</f>
        <v>Completar campos de US para puntos de función</v>
      </c>
      <c r="E24" s="79">
        <f>IF(ISBLANK(Plan!B21),"",IF(Plan!P21&gt;0,Plan!P21,""))</f>
        <v>180</v>
      </c>
    </row>
    <row r="25" spans="3:5" ht="20" customHeight="1" x14ac:dyDescent="0.2">
      <c r="C25" s="78" t="str">
        <f>IF(ISBLANK(Plan!B22),"",Plan!B22)</f>
        <v>Requisitos</v>
      </c>
      <c r="D25" s="78" t="str">
        <f>IF(ISBLANK(Plan!C22),"",Plan!C22)</f>
        <v>Elaborar Product Backlog priorizado</v>
      </c>
      <c r="E25" s="79">
        <f>IF(ISBLANK(Plan!B22),"",IF(Plan!P22&gt;0,Plan!P22,""))</f>
        <v>10</v>
      </c>
    </row>
    <row r="26" spans="3:5" ht="20" customHeight="1" x14ac:dyDescent="0.2">
      <c r="C26" s="78" t="str">
        <f>IF(ISBLANK(Plan!B23),"",Plan!B23)</f>
        <v>Requisitos</v>
      </c>
      <c r="D26" s="78" t="str">
        <f>IF(ISBLANK(Plan!C23),"",Plan!C23)</f>
        <v>Inspeccionar las US y criterios de aceptacion (Q)</v>
      </c>
      <c r="E26" s="79">
        <f>IF(ISBLANK(Plan!B23),"",IF(Plan!P23&gt;0,Plan!P23,""))</f>
        <v>60</v>
      </c>
    </row>
    <row r="27" spans="3:5" ht="20" customHeight="1" x14ac:dyDescent="0.2">
      <c r="C27" s="78" t="str">
        <f>IF(ISBLANK(Plan!B24),"",Plan!B24)</f>
        <v>Requisitos</v>
      </c>
      <c r="D27" s="78" t="str">
        <f>IF(ISBLANK(Plan!C24),"",Plan!C24)</f>
        <v>Poner en línea base las US (GCS)</v>
      </c>
      <c r="E27" s="79">
        <f>IF(ISBLANK(Plan!B24),"",IF(Plan!P24&gt;0,Plan!P24,""))</f>
        <v>5</v>
      </c>
    </row>
    <row r="28" spans="3:5" ht="20" customHeight="1" x14ac:dyDescent="0.2">
      <c r="C28" s="78" t="str">
        <f>IF(ISBLANK(Plan!B25),"",Plan!B25)</f>
        <v>Requisitos</v>
      </c>
      <c r="D28" s="78" t="str">
        <f>IF(ISBLANK(Plan!C25),"",Plan!C25)</f>
        <v>Introducir datos de Planificación/Monitorización(esfuerzo real / semana) S3</v>
      </c>
      <c r="E28" s="79">
        <f>IF(ISBLANK(Plan!B25),"",IF(Plan!P25&gt;0,Plan!P25,""))</f>
        <v>120</v>
      </c>
    </row>
    <row r="29" spans="3:5" ht="20" customHeight="1" x14ac:dyDescent="0.2">
      <c r="C29" s="78" t="str">
        <f>IF(ISBLANK(Plan!B26),"",Plan!B26)</f>
        <v>Requisitos</v>
      </c>
      <c r="D29" s="78" t="str">
        <f>IF(ISBLANK(Plan!C26),"",Plan!C26)</f>
        <v>Registrar datos de calidad S3</v>
      </c>
      <c r="E29" s="79">
        <f>IF(ISBLANK(Plan!B26),"",IF(Plan!P26&gt;0,Plan!P26,""))</f>
        <v>10</v>
      </c>
    </row>
    <row r="30" spans="3:5" ht="20" customHeight="1" x14ac:dyDescent="0.2">
      <c r="C30" s="78" t="str">
        <f>IF(ISBLANK(Plan!B27),"",Plan!B27)</f>
        <v/>
      </c>
      <c r="D30" s="78" t="str">
        <f>IF(ISBLANK(Plan!C27),"",Plan!C27)</f>
        <v/>
      </c>
      <c r="E30" s="79" t="str">
        <f>IF(ISBLANK(Plan!B27),"",IF(Plan!P27&gt;0,Plan!P27,""))</f>
        <v/>
      </c>
    </row>
    <row r="31" spans="3:5" ht="20" customHeight="1" x14ac:dyDescent="0.2">
      <c r="C31" s="78" t="str">
        <f>IF(ISBLANK(Plan!B28),"",Plan!B28)</f>
        <v/>
      </c>
      <c r="D31" s="78" t="str">
        <f>IF(ISBLANK(Plan!C28),"",Plan!C28)</f>
        <v/>
      </c>
      <c r="E31" s="79" t="str">
        <f>IF(ISBLANK(Plan!B28),"",IF(Plan!P28&gt;0,Plan!P28,""))</f>
        <v/>
      </c>
    </row>
    <row r="32" spans="3:5" ht="20" customHeight="1" x14ac:dyDescent="0.2">
      <c r="C32" s="78" t="str">
        <f>IF(ISBLANK(Plan!B29),"",Plan!B29)</f>
        <v/>
      </c>
      <c r="D32" s="78" t="str">
        <f>IF(ISBLANK(Plan!C29),"",Plan!C29)</f>
        <v/>
      </c>
      <c r="E32" s="79" t="str">
        <f>IF(ISBLANK(Plan!B29),"",IF(Plan!P29&gt;0,Plan!P29,""))</f>
        <v/>
      </c>
    </row>
    <row r="33" spans="3:5" ht="20" customHeight="1" x14ac:dyDescent="0.2">
      <c r="C33" s="78" t="str">
        <f>IF(ISBLANK(Plan!B30),"",Plan!B30)</f>
        <v/>
      </c>
      <c r="D33" s="78" t="str">
        <f>IF(ISBLANK(Plan!C30),"",Plan!C30)</f>
        <v/>
      </c>
      <c r="E33" s="79" t="str">
        <f>IF(ISBLANK(Plan!B30),"",IF(Plan!P30&gt;0,Plan!P30,""))</f>
        <v/>
      </c>
    </row>
    <row r="34" spans="3:5" ht="20" customHeight="1" x14ac:dyDescent="0.2">
      <c r="C34" s="78" t="str">
        <f>IF(ISBLANK(Plan!B31),"",Plan!B31)</f>
        <v>Estrategia</v>
      </c>
      <c r="D34" s="78" t="str">
        <f>IF(ISBLANK(Plan!C31),"",Plan!C31)</f>
        <v>Estimar Puntos de Función sobre las US</v>
      </c>
      <c r="E34" s="79">
        <f>IF(ISBLANK(Plan!B31),"",IF(Plan!P31&gt;0,Plan!P31,""))</f>
        <v>10</v>
      </c>
    </row>
    <row r="35" spans="3:5" ht="20" customHeight="1" x14ac:dyDescent="0.2">
      <c r="C35" s="78" t="str">
        <f>IF(ISBLANK(Plan!B32),"",Plan!B32)</f>
        <v>Estrategia</v>
      </c>
      <c r="D35" s="78" t="str">
        <f>IF(ISBLANK(Plan!C32),"",Plan!C32)</f>
        <v>Calcular esfuerzo (horas)</v>
      </c>
      <c r="E35" s="79">
        <f>IF(ISBLANK(Plan!B32),"",IF(Plan!P32&gt;0,Plan!P32,""))</f>
        <v>30</v>
      </c>
    </row>
    <row r="36" spans="3:5" ht="20" customHeight="1" x14ac:dyDescent="0.2">
      <c r="C36" s="78" t="str">
        <f>IF(ISBLANK(Plan!B33),"",Plan!B33)</f>
        <v>Estrategia</v>
      </c>
      <c r="D36" s="78" t="str">
        <f>IF(ISBLANK(Plan!C33),"",Plan!C33)</f>
        <v>Establecer estrategia de desarrollo (US Sprint 1 y Sprint 2)</v>
      </c>
      <c r="E36" s="79">
        <f>IF(ISBLANK(Plan!B33),"",IF(Plan!P33&gt;0,Plan!P33,""))</f>
        <v>10</v>
      </c>
    </row>
    <row r="37" spans="3:5" ht="20" customHeight="1" x14ac:dyDescent="0.2">
      <c r="C37" s="78" t="str">
        <f>IF(ISBLANK(Plan!B34),"",Plan!B34)</f>
        <v>Estrategia</v>
      </c>
      <c r="D37" s="78" t="str">
        <f>IF(ISBLANK(Plan!C34),"",Plan!C34)</f>
        <v>Elaborar documento de Estrategia</v>
      </c>
      <c r="E37" s="79">
        <f>IF(ISBLANK(Plan!B34),"",IF(Plan!P34&gt;0,Plan!P34,""))</f>
        <v>105</v>
      </c>
    </row>
    <row r="38" spans="3:5" ht="20" customHeight="1" x14ac:dyDescent="0.2">
      <c r="C38" s="78" t="str">
        <f>IF(ISBLANK(Plan!B35),"",Plan!B35)</f>
        <v>Estrategia</v>
      </c>
      <c r="D38" s="78" t="str">
        <f>IF(ISBLANK(Plan!C35),"",Plan!C35)</f>
        <v>Elaborar Sprint Backlog con Sprint Goal y tareas de calidad</v>
      </c>
      <c r="E38" s="79">
        <f>IF(ISBLANK(Plan!B35),"",IF(Plan!P35&gt;0,Plan!P35,""))</f>
        <v>15</v>
      </c>
    </row>
    <row r="39" spans="3:5" ht="20" customHeight="1" x14ac:dyDescent="0.2">
      <c r="C39" s="78" t="str">
        <f>IF(ISBLANK(Plan!B36),"",Plan!B36)</f>
        <v>Estrategia</v>
      </c>
      <c r="D39" s="78" t="str">
        <f>IF(ISBLANK(Plan!C36),"",Plan!C36)</f>
        <v>Inspeccionar outputs de Estrategia (Q)</v>
      </c>
      <c r="E39" s="79" t="str">
        <f>IF(ISBLANK(Plan!B36),"",IF(Plan!P36&gt;0,Plan!P36,""))</f>
        <v/>
      </c>
    </row>
    <row r="40" spans="3:5" ht="20" customHeight="1" x14ac:dyDescent="0.2">
      <c r="C40" s="78" t="str">
        <f>IF(ISBLANK(Plan!B37),"",Plan!B37)</f>
        <v>Estrategia</v>
      </c>
      <c r="D40" s="78" t="str">
        <f>IF(ISBLANK(Plan!C37),"",Plan!C37)</f>
        <v>Poner en línea base Estrategia y Sprint Backlog (GCS)</v>
      </c>
      <c r="E40" s="79">
        <f>IF(ISBLANK(Plan!B37),"",IF(Plan!P37&gt;0,Plan!P37,""))</f>
        <v>15</v>
      </c>
    </row>
    <row r="41" spans="3:5" ht="20" customHeight="1" x14ac:dyDescent="0.2">
      <c r="C41" s="78" t="str">
        <f>IF(ISBLANK(Plan!B38),"",Plan!B38)</f>
        <v>Estrategia</v>
      </c>
      <c r="D41" s="78" t="str">
        <f>IF(ISBLANK(Plan!C38),"",Plan!C38)</f>
        <v>Introducir datos de Planificación/Monitorización S4 (esfuerzo real / semana)</v>
      </c>
      <c r="E41" s="79">
        <f>IF(ISBLANK(Plan!B38),"",IF(Plan!P38&gt;0,Plan!P38,""))</f>
        <v>10</v>
      </c>
    </row>
    <row r="42" spans="3:5" ht="20" customHeight="1" x14ac:dyDescent="0.2">
      <c r="C42" s="78" t="str">
        <f>IF(ISBLANK(Plan!B39),"",Plan!B39)</f>
        <v>Estrategia</v>
      </c>
      <c r="D42" s="78" t="str">
        <f>IF(ISBLANK(Plan!C39),"",Plan!C39)</f>
        <v>Registrar datos de calidad S4</v>
      </c>
      <c r="E42" s="79">
        <f>IF(ISBLANK(Plan!B39),"",IF(Plan!P39&gt;0,Plan!P39,""))</f>
        <v>5</v>
      </c>
    </row>
    <row r="43" spans="3:5" ht="20" customHeight="1" x14ac:dyDescent="0.2">
      <c r="C43" s="78" t="str">
        <f>IF(ISBLANK(Plan!B40),"",Plan!B40)</f>
        <v/>
      </c>
      <c r="D43" s="78" t="str">
        <f>IF(ISBLANK(Plan!C40),"",Plan!C40)</f>
        <v/>
      </c>
      <c r="E43" s="79" t="str">
        <f>IF(ISBLANK(Plan!B40),"",IF(Plan!P40&gt;0,Plan!P40,""))</f>
        <v/>
      </c>
    </row>
    <row r="44" spans="3:5" ht="20" customHeight="1" x14ac:dyDescent="0.2">
      <c r="C44" s="78" t="str">
        <f>IF(ISBLANK(Plan!B41),"",Plan!B41)</f>
        <v/>
      </c>
      <c r="D44" s="78" t="str">
        <f>IF(ISBLANK(Plan!C41),"",Plan!C41)</f>
        <v/>
      </c>
      <c r="E44" s="79" t="str">
        <f>IF(ISBLANK(Plan!B41),"",IF(Plan!P41&gt;0,Plan!P41,""))</f>
        <v/>
      </c>
    </row>
    <row r="45" spans="3:5" ht="20" customHeight="1" x14ac:dyDescent="0.2">
      <c r="C45" s="78" t="str">
        <f>IF(ISBLANK(Plan!B42),"",Plan!B42)</f>
        <v/>
      </c>
      <c r="D45" s="78" t="str">
        <f>IF(ISBLANK(Plan!C42),"",Plan!C42)</f>
        <v/>
      </c>
      <c r="E45" s="79" t="str">
        <f>IF(ISBLANK(Plan!B42),"",IF(Plan!P42&gt;0,Plan!P42,""))</f>
        <v/>
      </c>
    </row>
    <row r="46" spans="3:5" ht="20" customHeight="1" x14ac:dyDescent="0.2">
      <c r="C46" s="78" t="str">
        <f>IF(ISBLANK(Plan!B43),"",Plan!B43)</f>
        <v>Planificación</v>
      </c>
      <c r="D46" s="78" t="str">
        <f>IF(ISBLANK(Plan!C43),"",Plan!C43)</f>
        <v>Realizar Plan de Gestión de Configuración (PGCS)</v>
      </c>
      <c r="E46" s="79">
        <f>IF(ISBLANK(Plan!B43),"",IF(Plan!P43&gt;0,Plan!P43,""))</f>
        <v>35</v>
      </c>
    </row>
    <row r="47" spans="3:5" ht="20" customHeight="1" x14ac:dyDescent="0.2">
      <c r="C47" s="78" t="str">
        <f>IF(ISBLANK(Plan!B44),"",Plan!B44)</f>
        <v>Planificación</v>
      </c>
      <c r="D47" s="78" t="str">
        <f>IF(ISBLANK(Plan!C44),"",Plan!C44)</f>
        <v>Realizar Plan de Calidad, DoD y matriz de evidencias</v>
      </c>
      <c r="E47" s="79">
        <f>IF(ISBLANK(Plan!B44),"",IF(Plan!P44&gt;0,Plan!P44,""))</f>
        <v>180</v>
      </c>
    </row>
    <row r="48" spans="3:5" ht="20" customHeight="1" x14ac:dyDescent="0.2">
      <c r="C48" s="78" t="str">
        <f>IF(ISBLANK(Plan!B45),"",Plan!B45)</f>
        <v>Planificación</v>
      </c>
      <c r="D48" s="78" t="str">
        <f>IF(ISBLANK(Plan!C45),"",Plan!C45)</f>
        <v>Realizar Plan de Proyecto del Sprint 1</v>
      </c>
      <c r="E48" s="79">
        <f>IF(ISBLANK(Plan!B45),"",IF(Plan!P45&gt;0,Plan!P45,""))</f>
        <v>10</v>
      </c>
    </row>
    <row r="49" spans="3:5" ht="20" customHeight="1" x14ac:dyDescent="0.2">
      <c r="C49" s="78" t="str">
        <f>IF(ISBLANK(Plan!B46),"",Plan!B46)</f>
        <v>Planificación</v>
      </c>
      <c r="D49" s="78" t="str">
        <f>IF(ISBLANK(Plan!C46),"",Plan!C46)</f>
        <v>Realizar Diagrama de Gantt del Sprint 1</v>
      </c>
      <c r="E49" s="79">
        <f>IF(ISBLANK(Plan!B46),"",IF(Plan!P46&gt;0,Plan!P46,""))</f>
        <v>10</v>
      </c>
    </row>
    <row r="50" spans="3:5" ht="20" customHeight="1" x14ac:dyDescent="0.2">
      <c r="C50" s="78" t="e">
        <f>IF(ISBLANK(Plan!#REF!),"",Plan!#REF!)</f>
        <v>#REF!</v>
      </c>
      <c r="D50" s="78" t="e">
        <f>IF(ISBLANK(Plan!#REF!),"",Plan!#REF!)</f>
        <v>#REF!</v>
      </c>
      <c r="E50" s="79" t="e">
        <f>IF(ISBLANK(Plan!#REF!),"",IF(Plan!#REF!&gt;0,Plan!#REF!,""))</f>
        <v>#REF!</v>
      </c>
    </row>
    <row r="51" spans="3:5" ht="20" customHeight="1" x14ac:dyDescent="0.2">
      <c r="C51" s="78" t="str">
        <f>IF(ISBLANK(Plan!B47),"",Plan!B47)</f>
        <v>Planificación</v>
      </c>
      <c r="D51" s="78" t="str">
        <f>IF(ISBLANK(Plan!C47),"",Plan!C47)</f>
        <v>Inspeccionar planes (Q) y poner en línea base (GCS)</v>
      </c>
      <c r="E51" s="79" t="str">
        <f>IF(ISBLANK(Plan!B47),"",IF(Plan!P47&gt;0,Plan!P47,""))</f>
        <v/>
      </c>
    </row>
    <row r="52" spans="3:5" ht="20" customHeight="1" x14ac:dyDescent="0.2">
      <c r="C52" s="78" t="str">
        <f>IF(ISBLANK(Plan!B48),"",Plan!B48)</f>
        <v>Planificación</v>
      </c>
      <c r="D52" s="78" t="str">
        <f>IF(ISBLANK(Plan!C48),"",Plan!C48)</f>
        <v>Introducir datos de Planificación/Monitorización S5 (esfuerzo real / semana)</v>
      </c>
      <c r="E52" s="79">
        <f>IF(ISBLANK(Plan!B48),"",IF(Plan!P48&gt;0,Plan!P48,""))</f>
        <v>5</v>
      </c>
    </row>
    <row r="53" spans="3:5" ht="20" customHeight="1" x14ac:dyDescent="0.2">
      <c r="C53" s="78" t="str">
        <f>IF(ISBLANK(Plan!B49),"",Plan!B49)</f>
        <v>Planificación</v>
      </c>
      <c r="D53" s="78" t="str">
        <f>IF(ISBLANK(Plan!C49),"",Plan!C49)</f>
        <v>Registrar datos de calidad S5: revisiones, pruebas y defectos</v>
      </c>
      <c r="E53" s="79">
        <f>IF(ISBLANK(Plan!B49),"",IF(Plan!P49&gt;0,Plan!P49,""))</f>
        <v>40</v>
      </c>
    </row>
    <row r="54" spans="3:5" ht="20" customHeight="1" x14ac:dyDescent="0.2">
      <c r="C54" s="78" t="str">
        <f>IF(ISBLANK(Plan!B50),"",Plan!B50)</f>
        <v/>
      </c>
      <c r="D54" s="78" t="str">
        <f>IF(ISBLANK(Plan!C50),"",Plan!C50)</f>
        <v/>
      </c>
      <c r="E54" s="79" t="str">
        <f>IF(ISBLANK(Plan!B50),"",IF(Plan!P50&gt;0,Plan!P50,""))</f>
        <v/>
      </c>
    </row>
    <row r="55" spans="3:5" ht="20" customHeight="1" x14ac:dyDescent="0.2">
      <c r="C55" s="78" t="str">
        <f>IF(ISBLANK(Plan!B51),"",Plan!B51)</f>
        <v/>
      </c>
      <c r="D55" s="78" t="str">
        <f>IF(ISBLANK(Plan!C51),"",Plan!C51)</f>
        <v/>
      </c>
      <c r="E55" s="79" t="str">
        <f>IF(ISBLANK(Plan!B51),"",IF(Plan!P51&gt;0,Plan!P51,""))</f>
        <v/>
      </c>
    </row>
    <row r="56" spans="3:5" ht="20" customHeight="1" x14ac:dyDescent="0.2">
      <c r="C56" s="78" t="str">
        <f>IF(ISBLANK(Plan!B52),"",Plan!B52)</f>
        <v>Diseño</v>
      </c>
      <c r="D56" s="78" t="str">
        <f>IF(ISBLANK(Plan!C52),"",Plan!C52)</f>
        <v>Realizar diagramas de Casos de Uso</v>
      </c>
      <c r="E56" s="79">
        <f>IF(ISBLANK(Plan!B52),"",IF(Plan!P52&gt;0,Plan!P52,""))</f>
        <v>25</v>
      </c>
    </row>
    <row r="57" spans="3:5" ht="20" customHeight="1" x14ac:dyDescent="0.2">
      <c r="C57" s="78" t="str">
        <f>IF(ISBLANK(Plan!B53),"",Plan!B53)</f>
        <v>Diseño</v>
      </c>
      <c r="D57" s="78" t="str">
        <f>IF(ISBLANK(Plan!C53),"",Plan!C53)</f>
        <v>Realizar modelo Entidad/Relación y BBDD</v>
      </c>
      <c r="E57" s="79" t="str">
        <f>IF(ISBLANK(Plan!B53),"",IF(Plan!P53&gt;0,Plan!P53,""))</f>
        <v/>
      </c>
    </row>
    <row r="58" spans="3:5" ht="20" customHeight="1" x14ac:dyDescent="0.2">
      <c r="C58" s="78" t="str">
        <f>IF(ISBLANK(Plan!B54),"",Plan!B54)</f>
        <v>Diseño</v>
      </c>
      <c r="D58" s="78" t="str">
        <f>IF(ISBLANK(Plan!C54),"",Plan!C54)</f>
        <v>Diseñar pantallas</v>
      </c>
      <c r="E58" s="79" t="str">
        <f>IF(ISBLANK(Plan!B54),"",IF(Plan!P54&gt;0,Plan!P54,""))</f>
        <v/>
      </c>
    </row>
    <row r="59" spans="3:5" ht="20" customHeight="1" x14ac:dyDescent="0.2">
      <c r="C59" s="78" t="str">
        <f>IF(ISBLANK(Plan!B55),"",Plan!B55)</f>
        <v>Diseño</v>
      </c>
      <c r="D59" s="78" t="str">
        <f>IF(ISBLANK(Plan!C55),"",Plan!C55)</f>
        <v>Inspeccionar diseño (Q) y poner en línea base (GCS)</v>
      </c>
      <c r="E59" s="79">
        <f>IF(ISBLANK(Plan!B55),"",IF(Plan!P55&gt;0,Plan!P55,""))</f>
        <v>5</v>
      </c>
    </row>
    <row r="60" spans="3:5" ht="20" customHeight="1" x14ac:dyDescent="0.2">
      <c r="C60" s="78" t="str">
        <f>IF(ISBLANK(Plan!B56),"",Plan!B56)</f>
        <v>Diseño</v>
      </c>
      <c r="D60" s="78" t="str">
        <f>IF(ISBLANK(Plan!C56),"",Plan!C56)</f>
        <v>Introducir datos de Planificación/Monitorización S6 (esfuerzo real / semana, US)</v>
      </c>
      <c r="E60" s="79">
        <f>IF(ISBLANK(Plan!B56),"",IF(Plan!P56&gt;0,Plan!P56,""))</f>
        <v>10</v>
      </c>
    </row>
    <row r="61" spans="3:5" ht="20" customHeight="1" x14ac:dyDescent="0.2">
      <c r="C61" s="78" t="str">
        <f>IF(ISBLANK(Plan!B57),"",Plan!B57)</f>
        <v/>
      </c>
      <c r="D61" s="78" t="str">
        <f>IF(ISBLANK(Plan!C57),"",Plan!C57)</f>
        <v/>
      </c>
      <c r="E61" s="79" t="str">
        <f>IF(ISBLANK(Plan!B57),"",IF(Plan!P57&gt;0,Plan!P57,""))</f>
        <v/>
      </c>
    </row>
    <row r="62" spans="3:5" ht="20" customHeight="1" x14ac:dyDescent="0.2">
      <c r="C62" s="78" t="str">
        <f>IF(ISBLANK(Plan!B58),"",Plan!B58)</f>
        <v/>
      </c>
      <c r="D62" s="78" t="str">
        <f>IF(ISBLANK(Plan!C58),"",Plan!C58)</f>
        <v/>
      </c>
      <c r="E62" s="79" t="str">
        <f>IF(ISBLANK(Plan!B58),"",IF(Plan!P58&gt;0,Plan!P58,""))</f>
        <v/>
      </c>
    </row>
    <row r="63" spans="3:5" ht="20" customHeight="1" x14ac:dyDescent="0.2">
      <c r="C63" s="78" t="str">
        <f>IF(ISBLANK(Plan!B59),"",Plan!B59)</f>
        <v>Implementación</v>
      </c>
      <c r="D63" s="78" t="str">
        <f>IF(ISBLANK(Plan!C59),"",Plan!C59)</f>
        <v>Implementar BBDD</v>
      </c>
      <c r="E63" s="79" t="str">
        <f>IF(ISBLANK(Plan!B59),"",IF(Plan!P59&gt;0,Plan!P59,""))</f>
        <v/>
      </c>
    </row>
    <row r="64" spans="3:5" ht="20" customHeight="1" x14ac:dyDescent="0.2">
      <c r="C64" s="78" t="str">
        <f>IF(ISBLANK(Plan!B60),"",Plan!B60)</f>
        <v>Implementación</v>
      </c>
      <c r="D64" s="78" t="str">
        <f>IF(ISBLANK(Plan!C60),"",Plan!C60)</f>
        <v>Implementar pantallas</v>
      </c>
      <c r="E64" s="79" t="str">
        <f>IF(ISBLANK(Plan!B60),"",IF(Plan!P60&gt;0,Plan!P60,""))</f>
        <v/>
      </c>
    </row>
    <row r="65" spans="3:5" ht="20" customHeight="1" x14ac:dyDescent="0.2">
      <c r="C65" s="78" t="str">
        <f>IF(ISBLANK(Plan!B61),"",Plan!B61)</f>
        <v>Implementación</v>
      </c>
      <c r="D65" s="78" t="str">
        <f>IF(ISBLANK(Plan!C61),"",Plan!C61)</f>
        <v>Implementar US: Alta Vehículo</v>
      </c>
      <c r="E65" s="79" t="str">
        <f>IF(ISBLANK(Plan!B61),"",IF(Plan!P61&gt;0,Plan!P61,""))</f>
        <v/>
      </c>
    </row>
    <row r="66" spans="3:5" ht="20" customHeight="1" x14ac:dyDescent="0.2">
      <c r="C66" s="78" t="str">
        <f>IF(ISBLANK(Plan!B62),"",Plan!B62)</f>
        <v>Implementación</v>
      </c>
      <c r="D66" s="78" t="str">
        <f>IF(ISBLANK(Plan!C62),"",Plan!C62)</f>
        <v>Implementar US: Marcas</v>
      </c>
      <c r="E66" s="79" t="str">
        <f>IF(ISBLANK(Plan!B62),"",IF(Plan!P62&gt;0,Plan!P62,""))</f>
        <v/>
      </c>
    </row>
    <row r="67" spans="3:5" ht="20" customHeight="1" x14ac:dyDescent="0.2">
      <c r="C67" s="78" t="str">
        <f>IF(ISBLANK(Plan!B63),"",Plan!B63)</f>
        <v>Implementación</v>
      </c>
      <c r="D67" s="78" t="str">
        <f>IF(ISBLANK(Plan!C63),"",Plan!C63)</f>
        <v>Implementar US: Almacén</v>
      </c>
      <c r="E67" s="79" t="str">
        <f>IF(ISBLANK(Plan!B63),"",IF(Plan!P63&gt;0,Plan!P63,""))</f>
        <v/>
      </c>
    </row>
    <row r="68" spans="3:5" ht="20" customHeight="1" x14ac:dyDescent="0.2">
      <c r="C68" s="78" t="str">
        <f>IF(ISBLANK(Plan!B64),"",Plan!B64)</f>
        <v>Implementación</v>
      </c>
      <c r="D68" s="78" t="str">
        <f>IF(ISBLANK(Plan!C64),"",Plan!C64)</f>
        <v>Implementar US: Desplegables (Gamma, Marchas, Techos, Puertas)</v>
      </c>
      <c r="E68" s="79" t="str">
        <f>IF(ISBLANK(Plan!B64),"",IF(Plan!P64&gt;0,Plan!P64,""))</f>
        <v/>
      </c>
    </row>
    <row r="69" spans="3:5" ht="20" customHeight="1" x14ac:dyDescent="0.2">
      <c r="C69" s="78" t="str">
        <f>IF(ISBLANK(Plan!B65),"",Plan!B65)</f>
        <v>Implementación</v>
      </c>
      <c r="D69" s="78" t="str">
        <f>IF(ISBLANK(Plan!C65),"",Plan!C65)</f>
        <v>Implementar US: Listar coches (filtrado)</v>
      </c>
      <c r="E69" s="79" t="str">
        <f>IF(ISBLANK(Plan!B65),"",IF(Plan!P65&gt;0,Plan!P65,""))</f>
        <v/>
      </c>
    </row>
    <row r="70" spans="3:5" ht="20" customHeight="1" x14ac:dyDescent="0.2">
      <c r="C70" s="78" t="str">
        <f>IF(ISBLANK(Plan!B66),"",Plan!B66)</f>
        <v>Implementación</v>
      </c>
      <c r="D70" s="78" t="str">
        <f>IF(ISBLANK(Plan!C66),"",Plan!C66)</f>
        <v>Integrar historias de usuario del sprint</v>
      </c>
      <c r="E70" s="79" t="str">
        <f>IF(ISBLANK(Plan!B66),"",IF(Plan!P66&gt;0,Plan!P66,""))</f>
        <v/>
      </c>
    </row>
    <row r="71" spans="3:5" ht="20" customHeight="1" x14ac:dyDescent="0.2">
      <c r="C71" s="78" t="str">
        <f>IF(ISBLANK(Plan!B67),"",Plan!B67)</f>
        <v>Implementación</v>
      </c>
      <c r="D71" s="78" t="str">
        <f>IF(ISBLANK(Plan!C67),"",Plan!C67)</f>
        <v>Inspeccionar código (Q) y poner en línea base (GCS)</v>
      </c>
      <c r="E71" s="79" t="str">
        <f>IF(ISBLANK(Plan!B67),"",IF(Plan!P67&gt;0,Plan!P67,""))</f>
        <v/>
      </c>
    </row>
    <row r="72" spans="3:5" ht="20" customHeight="1" x14ac:dyDescent="0.2">
      <c r="C72" s="78" t="str">
        <f>IF(ISBLANK(Plan!B68),"",Plan!B68)</f>
        <v>Implementación</v>
      </c>
      <c r="D72" s="78" t="str">
        <f>IF(ISBLANK(Plan!C68),"",Plan!C68)</f>
        <v>Introducir datos de Planificación/Monitorización S7 (esfuerzo real / semana, US implementadas)</v>
      </c>
      <c r="E72" s="79" t="str">
        <f>IF(ISBLANK(Plan!B68),"",IF(Plan!P68&gt;0,Plan!P68,""))</f>
        <v/>
      </c>
    </row>
    <row r="73" spans="3:5" ht="20" customHeight="1" x14ac:dyDescent="0.2">
      <c r="C73" s="78" t="str">
        <f>IF(ISBLANK(Plan!B69),"",Plan!B69)</f>
        <v>Implementación</v>
      </c>
      <c r="D73" s="78" t="str">
        <f>IF(ISBLANK(Plan!C69),"",Plan!C69)</f>
        <v>Registrar datos de calidad S7: ejecucion, defectos y verificacion DoD</v>
      </c>
      <c r="E73" s="79" t="str">
        <f>IF(ISBLANK(Plan!B69),"",IF(Plan!P69&gt;0,Plan!P69,""))</f>
        <v/>
      </c>
    </row>
    <row r="74" spans="3:5" ht="20" customHeight="1" x14ac:dyDescent="0.2">
      <c r="C74" s="78" t="e">
        <f>IF(ISBLANK(Plan!#REF!),"",Plan!#REF!)</f>
        <v>#REF!</v>
      </c>
      <c r="D74" s="78" t="e">
        <f>IF(ISBLANK(Plan!#REF!),"",Plan!#REF!)</f>
        <v>#REF!</v>
      </c>
      <c r="E74" s="79" t="e">
        <f>IF(ISBLANK(Plan!#REF!),"",IF(Plan!#REF!&gt;0,Plan!#REF!,""))</f>
        <v>#REF!</v>
      </c>
    </row>
    <row r="75" spans="3:5" ht="21.25" customHeight="1" x14ac:dyDescent="0.2">
      <c r="C75" s="78" t="str">
        <f>IF(ISBLANK(Plan!B70),"",Plan!B70)</f>
        <v/>
      </c>
      <c r="D75" s="78" t="str">
        <f>IF(ISBLANK(Plan!C70),"",Plan!C70)</f>
        <v/>
      </c>
      <c r="E75" s="79" t="str">
        <f>IF(ISBLANK(Plan!B70),"",IF(Plan!P70&gt;0,Plan!P70,""))</f>
        <v/>
      </c>
    </row>
    <row r="76" spans="3:5" ht="21.25" customHeight="1" x14ac:dyDescent="0.2">
      <c r="C76" s="78" t="str">
        <f>IF(ISBLANK(Plan!B71),"",Plan!B71)</f>
        <v/>
      </c>
      <c r="D76" s="78" t="str">
        <f>IF(ISBLANK(Plan!C71),"",Plan!C71)</f>
        <v/>
      </c>
      <c r="E76" s="79" t="str">
        <f>IF(ISBLANK(Plan!B71),"",IF(Plan!P71&gt;0,Plan!P71,""))</f>
        <v/>
      </c>
    </row>
    <row r="77" spans="3:5" ht="21.25" customHeight="1" x14ac:dyDescent="0.2">
      <c r="C77" s="78" t="str">
        <f>IF(ISBLANK(Plan!B72),"",Plan!B72)</f>
        <v>Pruebas</v>
      </c>
      <c r="D77" s="78" t="str">
        <f>IF(ISBLANK(Plan!C72),"",Plan!C72)</f>
        <v>Definir casos de prueba unitarios y de aceptación por US</v>
      </c>
      <c r="E77" s="79" t="str">
        <f>IF(ISBLANK(Plan!B72),"",IF(Plan!P72&gt;0,Plan!P72,""))</f>
        <v/>
      </c>
    </row>
    <row r="78" spans="3:5" ht="21.25" customHeight="1" x14ac:dyDescent="0.2">
      <c r="C78" s="78" t="str">
        <f>IF(ISBLANK(Plan!B73),"",Plan!B73)</f>
        <v>Pruebas</v>
      </c>
      <c r="D78" s="78" t="str">
        <f>IF(ISBLANK(Plan!C73),"",Plan!C73)</f>
        <v>Ejecutar pruebas y registrar resultado esperado vs real y version</v>
      </c>
      <c r="E78" s="79" t="str">
        <f>IF(ISBLANK(Plan!B73),"",IF(Plan!P73&gt;0,Plan!P73,""))</f>
        <v/>
      </c>
    </row>
    <row r="79" spans="3:5" ht="21.25" customHeight="1" x14ac:dyDescent="0.2">
      <c r="C79" s="78" t="str">
        <f>IF(ISBLANK(Plan!B74),"",Plan!B74)</f>
        <v>Pruebas</v>
      </c>
      <c r="D79" s="78" t="str">
        <f>IF(ISBLANK(Plan!C74),"",Plan!C74)</f>
        <v>Inspeccionar registros de pruebas, enlazar evidencias y poner en linea base (Q/GCS)</v>
      </c>
      <c r="E79" s="79" t="str">
        <f>IF(ISBLANK(Plan!B74),"",IF(Plan!P74&gt;0,Plan!P74,""))</f>
        <v/>
      </c>
    </row>
    <row r="80" spans="3:5" ht="21.25" customHeight="1" x14ac:dyDescent="0.2">
      <c r="C80" s="78" t="str">
        <f>IF(ISBLANK(Plan!B75),"",Plan!B75)</f>
        <v>Pruebas</v>
      </c>
      <c r="D80" s="78" t="str">
        <f>IF(ISBLANK(Plan!C75),"",Plan!C75)</f>
        <v>Introducir datos de Planificación/Monitorización S8 (esfuerzo real / semana, US)</v>
      </c>
      <c r="E80" s="79" t="str">
        <f>IF(ISBLANK(Plan!B75),"",IF(Plan!P75&gt;0,Plan!P75,""))</f>
        <v/>
      </c>
    </row>
    <row r="81" spans="3:5" ht="21.25" customHeight="1" x14ac:dyDescent="0.2">
      <c r="C81" s="78" t="str">
        <f>IF(ISBLANK(Plan!B76),"",Plan!B76)</f>
        <v/>
      </c>
      <c r="D81" s="78" t="str">
        <f>IF(ISBLANK(Plan!C76),"",Plan!C76)</f>
        <v/>
      </c>
      <c r="E81" s="79" t="str">
        <f>IF(ISBLANK(Plan!B76),"",IF(Plan!P76&gt;0,Plan!P76,""))</f>
        <v/>
      </c>
    </row>
    <row r="82" spans="3:5" ht="21.25" customHeight="1" x14ac:dyDescent="0.2">
      <c r="C82" s="78" t="str">
        <f>IF(ISBLANK(Plan!B77),"",Plan!B77)</f>
        <v/>
      </c>
      <c r="D82" s="78" t="str">
        <f>IF(ISBLANK(Plan!C77),"",Plan!C77)</f>
        <v/>
      </c>
      <c r="E82" s="79" t="str">
        <f>IF(ISBLANK(Plan!B77),"",IF(Plan!P77&gt;0,Plan!P77,""))</f>
        <v/>
      </c>
    </row>
    <row r="83" spans="3:5" ht="21.25" customHeight="1" x14ac:dyDescent="0.2">
      <c r="C83" s="78" t="str">
        <f>IF(ISBLANK(Plan!B78),"",Plan!B78)</f>
        <v>Retrospectiva</v>
      </c>
      <c r="D83" s="78" t="str">
        <f>IF(ISBLANK(Plan!C78),"",Plan!C78)</f>
        <v>Realizar informe de retrospectiva del Sprint 1</v>
      </c>
      <c r="E83" s="79" t="str">
        <f>IF(ISBLANK(Plan!B78),"",IF(Plan!P78&gt;0,Plan!P78,""))</f>
        <v/>
      </c>
    </row>
    <row r="84" spans="3:5" ht="21.25" customHeight="1" x14ac:dyDescent="0.2">
      <c r="C84" s="78" t="str">
        <f>IF(ISBLANK(Plan!B79),"",Plan!B79)</f>
        <v>Retrospectiva</v>
      </c>
      <c r="D84" s="78" t="str">
        <f>IF(ISBLANK(Plan!C79),"",Plan!C79)</f>
        <v>Evaluar roles y equipo del Sprint 1</v>
      </c>
      <c r="E84" s="79" t="str">
        <f>IF(ISBLANK(Plan!B79),"",IF(Plan!P79&gt;0,Plan!P79,""))</f>
        <v/>
      </c>
    </row>
    <row r="85" spans="3:5" ht="21.25" customHeight="1" x14ac:dyDescent="0.2">
      <c r="C85" s="78" t="str">
        <f>IF(ISBLANK(Plan!B80),"",Plan!B80)</f>
        <v>Retrospectiva</v>
      </c>
      <c r="D85" s="78" t="str">
        <f>IF(ISBLANK(Plan!C80),"",Plan!C80)</f>
        <v>Revisar productos y procesos; dificultades, PF y PD</v>
      </c>
      <c r="E85" s="79" t="str">
        <f>IF(ISBLANK(Plan!B80),"",IF(Plan!P80&gt;0,Plan!P80,""))</f>
        <v/>
      </c>
    </row>
    <row r="86" spans="3:5" ht="21.25" customHeight="1" x14ac:dyDescent="0.2">
      <c r="C86" s="78" t="str">
        <f>IF(ISBLANK(Plan!B81),"",Plan!B81)</f>
        <v>Retrospectiva</v>
      </c>
      <c r="D86" s="78" t="str">
        <f>IF(ISBLANK(Plan!C81),"",Plan!C81)</f>
        <v>Retrospectiva STARFISH (Keep / More / Start / Stop / Less)</v>
      </c>
      <c r="E86" s="79" t="str">
        <f>IF(ISBLANK(Plan!B81),"",IF(Plan!P81&gt;0,Plan!P81,""))</f>
        <v/>
      </c>
    </row>
    <row r="87" spans="3:5" ht="21.25" customHeight="1" x14ac:dyDescent="0.2">
      <c r="C87" s="78" t="str">
        <f>IF(ISBLANK(Plan!B82),"",Plan!B82)</f>
        <v>Retrospectiva</v>
      </c>
      <c r="D87" s="78" t="str">
        <f>IF(ISBLANK(Plan!C82),"",Plan!C82)</f>
        <v>Introducir datos de Planificación/Monitorización S9</v>
      </c>
      <c r="E87" s="79" t="str">
        <f>IF(ISBLANK(Plan!B82),"",IF(Plan!P82&gt;0,Plan!P82,""))</f>
        <v/>
      </c>
    </row>
    <row r="88" spans="3:5" ht="21.25" customHeight="1" x14ac:dyDescent="0.2">
      <c r="C88" s="78" t="str">
        <f>IF(ISBLANK(Plan!B83),"",Plan!B83)</f>
        <v>Retrospectiva</v>
      </c>
      <c r="D88" s="78" t="str">
        <f>IF(ISBLANK(Plan!C83),"",Plan!C83)</f>
        <v>Lecciones aprendidas y mejoras al proceso</v>
      </c>
      <c r="E88" s="79" t="str">
        <f>IF(ISBLANK(Plan!B83),"",IF(Plan!P83&gt;0,Plan!P83,""))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2:L88"/>
  <sheetViews>
    <sheetView workbookViewId="0"/>
  </sheetViews>
  <sheetFormatPr baseColWidth="10" defaultColWidth="8.83203125" defaultRowHeight="15" x14ac:dyDescent="0.2"/>
  <cols>
    <col min="3" max="3" width="14.83203125" customWidth="1"/>
    <col min="4" max="4" width="45.5" customWidth="1"/>
    <col min="5" max="5" width="16.33203125" customWidth="1"/>
    <col min="8" max="8" width="11" customWidth="1"/>
  </cols>
  <sheetData>
    <row r="2" spans="3:12" ht="20" customHeight="1" x14ac:dyDescent="0.2">
      <c r="C2" s="15" t="s">
        <v>109</v>
      </c>
      <c r="D2" s="16"/>
      <c r="G2" s="14" t="s">
        <v>102</v>
      </c>
    </row>
    <row r="3" spans="3:12" ht="20" customHeight="1" x14ac:dyDescent="0.2">
      <c r="D3" s="75" t="s">
        <v>103</v>
      </c>
      <c r="E3" s="76" t="e">
        <f>SUM(E6:E88)</f>
        <v>#REF!</v>
      </c>
      <c r="G3" t="s">
        <v>104</v>
      </c>
    </row>
    <row r="5" spans="3:12" ht="42" customHeight="1" x14ac:dyDescent="0.2">
      <c r="C5" s="77" t="s">
        <v>1</v>
      </c>
      <c r="D5" s="77" t="s">
        <v>2</v>
      </c>
      <c r="E5" s="77" t="s">
        <v>105</v>
      </c>
      <c r="F5" s="9"/>
      <c r="G5" s="9"/>
      <c r="H5" s="9"/>
      <c r="I5" s="10"/>
      <c r="J5" s="10"/>
      <c r="K5" s="10"/>
      <c r="L5" s="10"/>
    </row>
    <row r="6" spans="3:12" ht="20" customHeight="1" x14ac:dyDescent="0.2">
      <c r="C6" s="78" t="str">
        <f>IF(ISBLANK(Plan!B5),"",Plan!B5)</f>
        <v>Lanzamiento</v>
      </c>
      <c r="D6" s="78" t="str">
        <f>IF(ISBLANK(Plan!C5),"",Plan!C5)</f>
        <v>Asignar equipos y roles</v>
      </c>
      <c r="E6" s="79">
        <f>IF(ISBLANK(Plan!B5),"",IF(Plan!Q5&gt;0,Plan!Q5,""))</f>
        <v>10</v>
      </c>
    </row>
    <row r="7" spans="3:12" ht="20" customHeight="1" x14ac:dyDescent="0.2">
      <c r="C7" s="78" t="str">
        <f>IF(ISBLANK(Plan!B6),"",Plan!B6)</f>
        <v>Lanzamiento</v>
      </c>
      <c r="D7" s="78" t="str">
        <f>IF(ISBLANK(Plan!C6),"",Plan!C6)</f>
        <v>Definir proceso de reuniones</v>
      </c>
      <c r="E7" s="79">
        <f>IF(ISBLANK(Plan!B6),"",IF(Plan!Q6&gt;0,Plan!Q6,""))</f>
        <v>20</v>
      </c>
    </row>
    <row r="8" spans="3:12" ht="20" customHeight="1" x14ac:dyDescent="0.2">
      <c r="C8" s="78" t="str">
        <f>IF(ISBLANK(Plan!B7),"",Plan!B7)</f>
        <v>Lanzamiento</v>
      </c>
      <c r="D8" s="78" t="str">
        <f>IF(ISBLANK(Plan!C7),"",Plan!C7)</f>
        <v>Realizar Estándar de Documentación</v>
      </c>
      <c r="E8" s="79" t="str">
        <f>IF(ISBLANK(Plan!B7),"",IF(Plan!Q7&gt;0,Plan!Q7,""))</f>
        <v/>
      </c>
    </row>
    <row r="9" spans="3:12" ht="20" customHeight="1" x14ac:dyDescent="0.2">
      <c r="C9" s="78" t="str">
        <f>IF(ISBLANK(Plan!B8),"",Plan!B8)</f>
        <v>Lanzamiento</v>
      </c>
      <c r="D9" s="78" t="str">
        <f>IF(ISBLANK(Plan!C8),"",Plan!C8)</f>
        <v>Realizar Estándar de Agendas</v>
      </c>
      <c r="E9" s="79">
        <f>IF(ISBLANK(Plan!B8),"",IF(Plan!Q8&gt;0,Plan!Q8,""))</f>
        <v>15</v>
      </c>
    </row>
    <row r="10" spans="3:12" ht="20" customHeight="1" x14ac:dyDescent="0.2">
      <c r="C10" s="78" t="str">
        <f>IF(ISBLANK(Plan!B9),"",Plan!B9)</f>
        <v>Lanzamiento</v>
      </c>
      <c r="D10" s="78" t="str">
        <f>IF(ISBLANK(Plan!C9),"",Plan!C9)</f>
        <v>Realizar Estándar de Actas</v>
      </c>
      <c r="E10" s="79" t="str">
        <f>IF(ISBLANK(Plan!B9),"",IF(Plan!Q9&gt;0,Plan!Q9,""))</f>
        <v/>
      </c>
    </row>
    <row r="11" spans="3:12" ht="20" customHeight="1" x14ac:dyDescent="0.2">
      <c r="C11" s="78" t="str">
        <f>IF(ISBLANK(Plan!B10),"",Plan!B10)</f>
        <v>Lanzamiento</v>
      </c>
      <c r="D11" s="78" t="str">
        <f>IF(ISBLANK(Plan!C10),"",Plan!C10)</f>
        <v>Definir Ciclo de Vida a aplicar (actividades)</v>
      </c>
      <c r="E11" s="79">
        <f>IF(ISBLANK(Plan!B10),"",IF(Plan!Q10&gt;0,Plan!Q10,""))</f>
        <v>15</v>
      </c>
    </row>
    <row r="12" spans="3:12" ht="20" customHeight="1" x14ac:dyDescent="0.2">
      <c r="C12" s="78" t="str">
        <f>IF(ISBLANK(Plan!B11),"",Plan!B11)</f>
        <v>Lanzamiento</v>
      </c>
      <c r="D12" s="78" t="str">
        <f>IF(ISBLANK(Plan!C11),"",Plan!C11)</f>
        <v>Definir outputs y plantillas del CV</v>
      </c>
      <c r="E12" s="79" t="str">
        <f>IF(ISBLANK(Plan!B11),"",IF(Plan!Q11&gt;0,Plan!Q11,""))</f>
        <v/>
      </c>
    </row>
    <row r="13" spans="3:12" ht="20" customHeight="1" x14ac:dyDescent="0.2">
      <c r="C13" s="78" t="str">
        <f>IF(ISBLANK(Plan!B12),"",Plan!B12)</f>
        <v>Lanzamiento</v>
      </c>
      <c r="D13" s="78" t="str">
        <f>IF(ISBLANK(Plan!C12),"",Plan!C12)</f>
        <v>Definir Entorno de Desarrollo</v>
      </c>
      <c r="E13" s="79">
        <f>IF(ISBLANK(Plan!B12),"",IF(Plan!Q12&gt;0,Plan!Q12,""))</f>
        <v>10</v>
      </c>
    </row>
    <row r="14" spans="3:12" ht="20" customHeight="1" x14ac:dyDescent="0.2">
      <c r="C14" s="78" t="str">
        <f>IF(ISBLANK(Plan!B13),"",Plan!B13)</f>
        <v>Lanzamiento</v>
      </c>
      <c r="D14" s="78" t="str">
        <f>IF(ISBLANK(Plan!C13),"",Plan!C13)</f>
        <v>Configurar Entorno de Desarrollo</v>
      </c>
      <c r="E14" s="79" t="str">
        <f>IF(ISBLANK(Plan!B13),"",IF(Plan!Q13&gt;0,Plan!Q13,""))</f>
        <v/>
      </c>
    </row>
    <row r="15" spans="3:12" ht="20" customHeight="1" x14ac:dyDescent="0.2">
      <c r="C15" s="78" t="str">
        <f>IF(ISBLANK(Plan!B14),"",Plan!B14)</f>
        <v>Lanzamiento</v>
      </c>
      <c r="D15" s="78" t="str">
        <f>IF(ISBLANK(Plan!C14),"",Plan!C14)</f>
        <v>Definir Estándar de Codificación</v>
      </c>
      <c r="E15" s="79">
        <f>IF(ISBLANK(Plan!B14),"",IF(Plan!Q14&gt;0,Plan!Q14,""))</f>
        <v>10</v>
      </c>
    </row>
    <row r="16" spans="3:12" ht="20" customHeight="1" x14ac:dyDescent="0.2">
      <c r="C16" s="78"/>
      <c r="D16" s="78"/>
      <c r="E16" s="79"/>
    </row>
    <row r="17" spans="3:5" ht="20" customHeight="1" x14ac:dyDescent="0.2">
      <c r="C17" s="78"/>
      <c r="D17" s="78"/>
      <c r="E17" s="79"/>
    </row>
    <row r="18" spans="3:5" ht="20" customHeight="1" x14ac:dyDescent="0.2">
      <c r="C18" s="78" t="str">
        <f>IF(ISBLANK(Plan!B15),"",Plan!B15)</f>
        <v>Lanzamiento</v>
      </c>
      <c r="D18" s="78" t="str">
        <f>IF(ISBLANK(Plan!C15),"",Plan!C15)</f>
        <v>Introducir datos de Planificación/Monitorización S1 (esfuerzo real / semana)</v>
      </c>
      <c r="E18" s="79">
        <f>IF(ISBLANK(Plan!B15),"",IF(Plan!Q15&gt;0,Plan!Q15,""))</f>
        <v>5</v>
      </c>
    </row>
    <row r="19" spans="3:5" ht="20" customHeight="1" x14ac:dyDescent="0.2">
      <c r="C19" s="78" t="str">
        <f>IF(ISBLANK(Plan!B16),"",Plan!B16)</f>
        <v/>
      </c>
      <c r="D19" s="78" t="str">
        <f>IF(ISBLANK(Plan!C16),"",Plan!C16)</f>
        <v/>
      </c>
      <c r="E19" s="79" t="str">
        <f>IF(ISBLANK(Plan!B16),"",IF(Plan!Q16&gt;0,Plan!Q16,""))</f>
        <v/>
      </c>
    </row>
    <row r="20" spans="3:5" ht="20" customHeight="1" x14ac:dyDescent="0.2">
      <c r="C20" s="78" t="str">
        <f>IF(ISBLANK(Plan!B17),"",Plan!B17)</f>
        <v/>
      </c>
      <c r="D20" s="78" t="str">
        <f>IF(ISBLANK(Plan!C17),"",Plan!C17)</f>
        <v/>
      </c>
      <c r="E20" s="79" t="str">
        <f>IF(ISBLANK(Plan!B17),"",IF(Plan!Q17&gt;0,Plan!Q17,""))</f>
        <v/>
      </c>
    </row>
    <row r="21" spans="3:5" ht="20" customHeight="1" x14ac:dyDescent="0.2">
      <c r="C21" s="78" t="str">
        <f>IF(ISBLANK(Plan!B18),"",Plan!B18)</f>
        <v/>
      </c>
      <c r="D21" s="78" t="str">
        <f>IF(ISBLANK(Plan!C18),"",Plan!C18)</f>
        <v/>
      </c>
      <c r="E21" s="79" t="str">
        <f>IF(ISBLANK(Plan!B18),"",IF(Plan!Q18&gt;0,Plan!Q18,""))</f>
        <v/>
      </c>
    </row>
    <row r="22" spans="3:5" ht="20" customHeight="1" x14ac:dyDescent="0.2">
      <c r="C22" s="78" t="str">
        <f>IF(ISBLANK(Plan!B19),"",Plan!B19)</f>
        <v>Requisitos</v>
      </c>
      <c r="D22" s="78" t="str">
        <f>IF(ISBLANK(Plan!C19),"",Plan!C19)</f>
        <v>Obtener Historias de Usuario (US)</v>
      </c>
      <c r="E22" s="79" t="str">
        <f>IF(ISBLANK(Plan!B19),"",IF(Plan!Q19&gt;0,Plan!Q19,""))</f>
        <v/>
      </c>
    </row>
    <row r="23" spans="3:5" ht="20" customHeight="1" x14ac:dyDescent="0.2">
      <c r="C23" s="78" t="str">
        <f>IF(ISBLANK(Plan!B20),"",Plan!B20)</f>
        <v>Requisitos</v>
      </c>
      <c r="D23" s="78" t="str">
        <f>IF(ISBLANK(Plan!C20),"",Plan!C20)</f>
        <v>Describir las US según plantilla (Como/Quiero/Para + criterios de aceptación)</v>
      </c>
      <c r="E23" s="79" t="str">
        <f>IF(ISBLANK(Plan!B20),"",IF(Plan!Q20&gt;0,Plan!Q20,""))</f>
        <v/>
      </c>
    </row>
    <row r="24" spans="3:5" ht="20" customHeight="1" x14ac:dyDescent="0.2">
      <c r="C24" s="78" t="str">
        <f>IF(ISBLANK(Plan!B21),"",Plan!B21)</f>
        <v>Requisitos</v>
      </c>
      <c r="D24" s="78" t="str">
        <f>IF(ISBLANK(Plan!C21),"",Plan!C21)</f>
        <v>Completar campos de US para puntos de función</v>
      </c>
      <c r="E24" s="79" t="str">
        <f>IF(ISBLANK(Plan!B21),"",IF(Plan!Q21&gt;0,Plan!Q21,""))</f>
        <v/>
      </c>
    </row>
    <row r="25" spans="3:5" ht="20" customHeight="1" x14ac:dyDescent="0.2">
      <c r="C25" s="78" t="str">
        <f>IF(ISBLANK(Plan!B22),"",Plan!B22)</f>
        <v>Requisitos</v>
      </c>
      <c r="D25" s="78" t="str">
        <f>IF(ISBLANK(Plan!C22),"",Plan!C22)</f>
        <v>Elaborar Product Backlog priorizado</v>
      </c>
      <c r="E25" s="79" t="str">
        <f>IF(ISBLANK(Plan!B22),"",IF(Plan!Q22&gt;0,Plan!Q22,""))</f>
        <v/>
      </c>
    </row>
    <row r="26" spans="3:5" ht="20" customHeight="1" x14ac:dyDescent="0.2">
      <c r="C26" s="78" t="str">
        <f>IF(ISBLANK(Plan!B23),"",Plan!B23)</f>
        <v>Requisitos</v>
      </c>
      <c r="D26" s="78" t="str">
        <f>IF(ISBLANK(Plan!C23),"",Plan!C23)</f>
        <v>Inspeccionar las US y criterios de aceptacion (Q)</v>
      </c>
      <c r="E26" s="79" t="str">
        <f>IF(ISBLANK(Plan!B23),"",IF(Plan!Q23&gt;0,Plan!Q23,""))</f>
        <v/>
      </c>
    </row>
    <row r="27" spans="3:5" ht="20" customHeight="1" x14ac:dyDescent="0.2">
      <c r="C27" s="78" t="str">
        <f>IF(ISBLANK(Plan!B24),"",Plan!B24)</f>
        <v>Requisitos</v>
      </c>
      <c r="D27" s="78" t="str">
        <f>IF(ISBLANK(Plan!C24),"",Plan!C24)</f>
        <v>Poner en línea base las US (GCS)</v>
      </c>
      <c r="E27" s="79" t="str">
        <f>IF(ISBLANK(Plan!B24),"",IF(Plan!Q24&gt;0,Plan!Q24,""))</f>
        <v/>
      </c>
    </row>
    <row r="28" spans="3:5" ht="20" customHeight="1" x14ac:dyDescent="0.2">
      <c r="C28" s="78" t="str">
        <f>IF(ISBLANK(Plan!B25),"",Plan!B25)</f>
        <v>Requisitos</v>
      </c>
      <c r="D28" s="78" t="str">
        <f>IF(ISBLANK(Plan!C25),"",Plan!C25)</f>
        <v>Introducir datos de Planificación/Monitorización(esfuerzo real / semana) S3</v>
      </c>
      <c r="E28" s="79" t="str">
        <f>IF(ISBLANK(Plan!B25),"",IF(Plan!Q25&gt;0,Plan!Q25,""))</f>
        <v/>
      </c>
    </row>
    <row r="29" spans="3:5" ht="20" customHeight="1" x14ac:dyDescent="0.2">
      <c r="C29" s="78" t="str">
        <f>IF(ISBLANK(Plan!B26),"",Plan!B26)</f>
        <v>Requisitos</v>
      </c>
      <c r="D29" s="78" t="str">
        <f>IF(ISBLANK(Plan!C26),"",Plan!C26)</f>
        <v>Registrar datos de calidad S3</v>
      </c>
      <c r="E29" s="79" t="str">
        <f>IF(ISBLANK(Plan!B26),"",IF(Plan!Q26&gt;0,Plan!Q26,""))</f>
        <v/>
      </c>
    </row>
    <row r="30" spans="3:5" ht="20" customHeight="1" x14ac:dyDescent="0.2">
      <c r="C30" s="78" t="str">
        <f>IF(ISBLANK(Plan!B27),"",Plan!B27)</f>
        <v/>
      </c>
      <c r="D30" s="78" t="str">
        <f>IF(ISBLANK(Plan!C27),"",Plan!C27)</f>
        <v/>
      </c>
      <c r="E30" s="79" t="str">
        <f>IF(ISBLANK(Plan!B27),"",IF(Plan!Q27&gt;0,Plan!Q27,""))</f>
        <v/>
      </c>
    </row>
    <row r="31" spans="3:5" ht="20" customHeight="1" x14ac:dyDescent="0.2">
      <c r="C31" s="78" t="str">
        <f>IF(ISBLANK(Plan!B28),"",Plan!B28)</f>
        <v/>
      </c>
      <c r="D31" s="78" t="str">
        <f>IF(ISBLANK(Plan!C28),"",Plan!C28)</f>
        <v/>
      </c>
      <c r="E31" s="79" t="str">
        <f>IF(ISBLANK(Plan!B28),"",IF(Plan!Q28&gt;0,Plan!Q28,""))</f>
        <v/>
      </c>
    </row>
    <row r="32" spans="3:5" ht="20" customHeight="1" x14ac:dyDescent="0.2">
      <c r="C32" s="78" t="str">
        <f>IF(ISBLANK(Plan!B29),"",Plan!B29)</f>
        <v/>
      </c>
      <c r="D32" s="78" t="str">
        <f>IF(ISBLANK(Plan!C29),"",Plan!C29)</f>
        <v/>
      </c>
      <c r="E32" s="79" t="str">
        <f>IF(ISBLANK(Plan!B29),"",IF(Plan!Q29&gt;0,Plan!Q29,""))</f>
        <v/>
      </c>
    </row>
    <row r="33" spans="3:5" ht="20" customHeight="1" x14ac:dyDescent="0.2">
      <c r="C33" s="78" t="str">
        <f>IF(ISBLANK(Plan!B30),"",Plan!B30)</f>
        <v/>
      </c>
      <c r="D33" s="78" t="str">
        <f>IF(ISBLANK(Plan!C30),"",Plan!C30)</f>
        <v/>
      </c>
      <c r="E33" s="79" t="str">
        <f>IF(ISBLANK(Plan!B30),"",IF(Plan!Q30&gt;0,Plan!Q30,""))</f>
        <v/>
      </c>
    </row>
    <row r="34" spans="3:5" ht="20" customHeight="1" x14ac:dyDescent="0.2">
      <c r="C34" s="78" t="str">
        <f>IF(ISBLANK(Plan!B31),"",Plan!B31)</f>
        <v>Estrategia</v>
      </c>
      <c r="D34" s="78" t="str">
        <f>IF(ISBLANK(Plan!C31),"",Plan!C31)</f>
        <v>Estimar Puntos de Función sobre las US</v>
      </c>
      <c r="E34" s="79" t="str">
        <f>IF(ISBLANK(Plan!B31),"",IF(Plan!Q31&gt;0,Plan!Q31,""))</f>
        <v/>
      </c>
    </row>
    <row r="35" spans="3:5" ht="20" customHeight="1" x14ac:dyDescent="0.2">
      <c r="C35" s="78" t="str">
        <f>IF(ISBLANK(Plan!B32),"",Plan!B32)</f>
        <v>Estrategia</v>
      </c>
      <c r="D35" s="78" t="str">
        <f>IF(ISBLANK(Plan!C32),"",Plan!C32)</f>
        <v>Calcular esfuerzo (horas)</v>
      </c>
      <c r="E35" s="79" t="str">
        <f>IF(ISBLANK(Plan!B32),"",IF(Plan!Q32&gt;0,Plan!Q32,""))</f>
        <v/>
      </c>
    </row>
    <row r="36" spans="3:5" ht="20" customHeight="1" x14ac:dyDescent="0.2">
      <c r="C36" s="78" t="str">
        <f>IF(ISBLANK(Plan!B33),"",Plan!B33)</f>
        <v>Estrategia</v>
      </c>
      <c r="D36" s="78" t="str">
        <f>IF(ISBLANK(Plan!C33),"",Plan!C33)</f>
        <v>Establecer estrategia de desarrollo (US Sprint 1 y Sprint 2)</v>
      </c>
      <c r="E36" s="79" t="str">
        <f>IF(ISBLANK(Plan!B33),"",IF(Plan!Q33&gt;0,Plan!Q33,""))</f>
        <v/>
      </c>
    </row>
    <row r="37" spans="3:5" ht="20" customHeight="1" x14ac:dyDescent="0.2">
      <c r="C37" s="78" t="str">
        <f>IF(ISBLANK(Plan!B34),"",Plan!B34)</f>
        <v>Estrategia</v>
      </c>
      <c r="D37" s="78" t="str">
        <f>IF(ISBLANK(Plan!C34),"",Plan!C34)</f>
        <v>Elaborar documento de Estrategia</v>
      </c>
      <c r="E37" s="79" t="str">
        <f>IF(ISBLANK(Plan!B34),"",IF(Plan!Q34&gt;0,Plan!Q34,""))</f>
        <v/>
      </c>
    </row>
    <row r="38" spans="3:5" ht="20" customHeight="1" x14ac:dyDescent="0.2">
      <c r="C38" s="78" t="str">
        <f>IF(ISBLANK(Plan!B35),"",Plan!B35)</f>
        <v>Estrategia</v>
      </c>
      <c r="D38" s="78" t="str">
        <f>IF(ISBLANK(Plan!C35),"",Plan!C35)</f>
        <v>Elaborar Sprint Backlog con Sprint Goal y tareas de calidad</v>
      </c>
      <c r="E38" s="79" t="str">
        <f>IF(ISBLANK(Plan!B35),"",IF(Plan!Q35&gt;0,Plan!Q35,""))</f>
        <v/>
      </c>
    </row>
    <row r="39" spans="3:5" ht="20" customHeight="1" x14ac:dyDescent="0.2">
      <c r="C39" s="78" t="str">
        <f>IF(ISBLANK(Plan!B36),"",Plan!B36)</f>
        <v>Estrategia</v>
      </c>
      <c r="D39" s="78" t="str">
        <f>IF(ISBLANK(Plan!C36),"",Plan!C36)</f>
        <v>Inspeccionar outputs de Estrategia (Q)</v>
      </c>
      <c r="E39" s="79" t="str">
        <f>IF(ISBLANK(Plan!B36),"",IF(Plan!Q36&gt;0,Plan!Q36,""))</f>
        <v/>
      </c>
    </row>
    <row r="40" spans="3:5" ht="20" customHeight="1" x14ac:dyDescent="0.2">
      <c r="C40" s="78" t="str">
        <f>IF(ISBLANK(Plan!B37),"",Plan!B37)</f>
        <v>Estrategia</v>
      </c>
      <c r="D40" s="78" t="str">
        <f>IF(ISBLANK(Plan!C37),"",Plan!C37)</f>
        <v>Poner en línea base Estrategia y Sprint Backlog (GCS)</v>
      </c>
      <c r="E40" s="79" t="str">
        <f>IF(ISBLANK(Plan!B37),"",IF(Plan!Q37&gt;0,Plan!Q37,""))</f>
        <v/>
      </c>
    </row>
    <row r="41" spans="3:5" ht="20" customHeight="1" x14ac:dyDescent="0.2">
      <c r="C41" s="78" t="str">
        <f>IF(ISBLANK(Plan!B38),"",Plan!B38)</f>
        <v>Estrategia</v>
      </c>
      <c r="D41" s="78" t="str">
        <f>IF(ISBLANK(Plan!C38),"",Plan!C38)</f>
        <v>Introducir datos de Planificación/Monitorización S4 (esfuerzo real / semana)</v>
      </c>
      <c r="E41" s="79" t="str">
        <f>IF(ISBLANK(Plan!B38),"",IF(Plan!Q38&gt;0,Plan!Q38,""))</f>
        <v/>
      </c>
    </row>
    <row r="42" spans="3:5" ht="20" customHeight="1" x14ac:dyDescent="0.2">
      <c r="C42" s="78" t="str">
        <f>IF(ISBLANK(Plan!B39),"",Plan!B39)</f>
        <v>Estrategia</v>
      </c>
      <c r="D42" s="78" t="str">
        <f>IF(ISBLANK(Plan!C39),"",Plan!C39)</f>
        <v>Registrar datos de calidad S4</v>
      </c>
      <c r="E42" s="79" t="str">
        <f>IF(ISBLANK(Plan!B39),"",IF(Plan!Q39&gt;0,Plan!Q39,""))</f>
        <v/>
      </c>
    </row>
    <row r="43" spans="3:5" ht="20" customHeight="1" x14ac:dyDescent="0.2">
      <c r="C43" s="78" t="str">
        <f>IF(ISBLANK(Plan!B40),"",Plan!B40)</f>
        <v/>
      </c>
      <c r="D43" s="78" t="str">
        <f>IF(ISBLANK(Plan!C40),"",Plan!C40)</f>
        <v/>
      </c>
      <c r="E43" s="79" t="str">
        <f>IF(ISBLANK(Plan!B40),"",IF(Plan!Q40&gt;0,Plan!Q40,""))</f>
        <v/>
      </c>
    </row>
    <row r="44" spans="3:5" ht="20" customHeight="1" x14ac:dyDescent="0.2">
      <c r="C44" s="78" t="str">
        <f>IF(ISBLANK(Plan!B41),"",Plan!B41)</f>
        <v/>
      </c>
      <c r="D44" s="78" t="str">
        <f>IF(ISBLANK(Plan!C41),"",Plan!C41)</f>
        <v/>
      </c>
      <c r="E44" s="79" t="str">
        <f>IF(ISBLANK(Plan!B41),"",IF(Plan!Q41&gt;0,Plan!Q41,""))</f>
        <v/>
      </c>
    </row>
    <row r="45" spans="3:5" ht="20" customHeight="1" x14ac:dyDescent="0.2">
      <c r="C45" s="78" t="str">
        <f>IF(ISBLANK(Plan!B42),"",Plan!B42)</f>
        <v/>
      </c>
      <c r="D45" s="78" t="str">
        <f>IF(ISBLANK(Plan!C42),"",Plan!C42)</f>
        <v/>
      </c>
      <c r="E45" s="79" t="str">
        <f>IF(ISBLANK(Plan!B42),"",IF(Plan!Q42&gt;0,Plan!Q42,""))</f>
        <v/>
      </c>
    </row>
    <row r="46" spans="3:5" ht="20" customHeight="1" x14ac:dyDescent="0.2">
      <c r="C46" s="78" t="str">
        <f>IF(ISBLANK(Plan!B43),"",Plan!B43)</f>
        <v>Planificación</v>
      </c>
      <c r="D46" s="78" t="str">
        <f>IF(ISBLANK(Plan!C43),"",Plan!C43)</f>
        <v>Realizar Plan de Gestión de Configuración (PGCS)</v>
      </c>
      <c r="E46" s="79" t="str">
        <f>IF(ISBLANK(Plan!B43),"",IF(Plan!Q43&gt;0,Plan!Q43,""))</f>
        <v/>
      </c>
    </row>
    <row r="47" spans="3:5" ht="20" customHeight="1" x14ac:dyDescent="0.2">
      <c r="C47" s="78" t="str">
        <f>IF(ISBLANK(Plan!B44),"",Plan!B44)</f>
        <v>Planificación</v>
      </c>
      <c r="D47" s="78" t="str">
        <f>IF(ISBLANK(Plan!C44),"",Plan!C44)</f>
        <v>Realizar Plan de Calidad, DoD y matriz de evidencias</v>
      </c>
      <c r="E47" s="79" t="str">
        <f>IF(ISBLANK(Plan!B44),"",IF(Plan!Q44&gt;0,Plan!Q44,""))</f>
        <v/>
      </c>
    </row>
    <row r="48" spans="3:5" ht="20" customHeight="1" x14ac:dyDescent="0.2">
      <c r="C48" s="78" t="str">
        <f>IF(ISBLANK(Plan!B45),"",Plan!B45)</f>
        <v>Planificación</v>
      </c>
      <c r="D48" s="78" t="str">
        <f>IF(ISBLANK(Plan!C45),"",Plan!C45)</f>
        <v>Realizar Plan de Proyecto del Sprint 1</v>
      </c>
      <c r="E48" s="79" t="str">
        <f>IF(ISBLANK(Plan!B45),"",IF(Plan!Q45&gt;0,Plan!Q45,""))</f>
        <v/>
      </c>
    </row>
    <row r="49" spans="3:5" ht="20" customHeight="1" x14ac:dyDescent="0.2">
      <c r="C49" s="78" t="str">
        <f>IF(ISBLANK(Plan!B46),"",Plan!B46)</f>
        <v>Planificación</v>
      </c>
      <c r="D49" s="78" t="str">
        <f>IF(ISBLANK(Plan!C46),"",Plan!C46)</f>
        <v>Realizar Diagrama de Gantt del Sprint 1</v>
      </c>
      <c r="E49" s="79" t="str">
        <f>IF(ISBLANK(Plan!B46),"",IF(Plan!Q46&gt;0,Plan!Q46,""))</f>
        <v/>
      </c>
    </row>
    <row r="50" spans="3:5" ht="20" customHeight="1" x14ac:dyDescent="0.2">
      <c r="C50" s="78" t="e">
        <f>IF(ISBLANK(Plan!#REF!),"",Plan!#REF!)</f>
        <v>#REF!</v>
      </c>
      <c r="D50" s="78" t="e">
        <f>IF(ISBLANK(Plan!#REF!),"",Plan!#REF!)</f>
        <v>#REF!</v>
      </c>
      <c r="E50" s="79" t="e">
        <f>IF(ISBLANK(Plan!#REF!),"",IF(Plan!#REF!&gt;0,Plan!#REF!,""))</f>
        <v>#REF!</v>
      </c>
    </row>
    <row r="51" spans="3:5" ht="20" customHeight="1" x14ac:dyDescent="0.2">
      <c r="C51" s="78" t="str">
        <f>IF(ISBLANK(Plan!B47),"",Plan!B47)</f>
        <v>Planificación</v>
      </c>
      <c r="D51" s="78" t="str">
        <f>IF(ISBLANK(Plan!C47),"",Plan!C47)</f>
        <v>Inspeccionar planes (Q) y poner en línea base (GCS)</v>
      </c>
      <c r="E51" s="79" t="str">
        <f>IF(ISBLANK(Plan!B47),"",IF(Plan!Q47&gt;0,Plan!Q47,""))</f>
        <v/>
      </c>
    </row>
    <row r="52" spans="3:5" ht="20" customHeight="1" x14ac:dyDescent="0.2">
      <c r="C52" s="78" t="str">
        <f>IF(ISBLANK(Plan!B48),"",Plan!B48)</f>
        <v>Planificación</v>
      </c>
      <c r="D52" s="78" t="str">
        <f>IF(ISBLANK(Plan!C48),"",Plan!C48)</f>
        <v>Introducir datos de Planificación/Monitorización S5 (esfuerzo real / semana)</v>
      </c>
      <c r="E52" s="79" t="str">
        <f>IF(ISBLANK(Plan!B48),"",IF(Plan!Q48&gt;0,Plan!Q48,""))</f>
        <v/>
      </c>
    </row>
    <row r="53" spans="3:5" ht="20" customHeight="1" x14ac:dyDescent="0.2">
      <c r="C53" s="78" t="str">
        <f>IF(ISBLANK(Plan!B49),"",Plan!B49)</f>
        <v>Planificación</v>
      </c>
      <c r="D53" s="78" t="str">
        <f>IF(ISBLANK(Plan!C49),"",Plan!C49)</f>
        <v>Registrar datos de calidad S5: revisiones, pruebas y defectos</v>
      </c>
      <c r="E53" s="79" t="str">
        <f>IF(ISBLANK(Plan!B49),"",IF(Plan!Q49&gt;0,Plan!Q49,""))</f>
        <v/>
      </c>
    </row>
    <row r="54" spans="3:5" ht="20" customHeight="1" x14ac:dyDescent="0.2">
      <c r="C54" s="78" t="str">
        <f>IF(ISBLANK(Plan!B50),"",Plan!B50)</f>
        <v/>
      </c>
      <c r="D54" s="78" t="str">
        <f>IF(ISBLANK(Plan!C50),"",Plan!C50)</f>
        <v/>
      </c>
      <c r="E54" s="79" t="str">
        <f>IF(ISBLANK(Plan!B50),"",IF(Plan!Q50&gt;0,Plan!Q50,""))</f>
        <v/>
      </c>
    </row>
    <row r="55" spans="3:5" ht="20" customHeight="1" x14ac:dyDescent="0.2">
      <c r="C55" s="78" t="str">
        <f>IF(ISBLANK(Plan!B51),"",Plan!B51)</f>
        <v/>
      </c>
      <c r="D55" s="78" t="str">
        <f>IF(ISBLANK(Plan!C51),"",Plan!C51)</f>
        <v/>
      </c>
      <c r="E55" s="79" t="str">
        <f>IF(ISBLANK(Plan!B51),"",IF(Plan!Q51&gt;0,Plan!Q51,""))</f>
        <v/>
      </c>
    </row>
    <row r="56" spans="3:5" ht="20" customHeight="1" x14ac:dyDescent="0.2">
      <c r="C56" s="78" t="str">
        <f>IF(ISBLANK(Plan!B52),"",Plan!B52)</f>
        <v>Diseño</v>
      </c>
      <c r="D56" s="78" t="str">
        <f>IF(ISBLANK(Plan!C52),"",Plan!C52)</f>
        <v>Realizar diagramas de Casos de Uso</v>
      </c>
      <c r="E56" s="79" t="str">
        <f>IF(ISBLANK(Plan!B52),"",IF(Plan!Q52&gt;0,Plan!Q52,""))</f>
        <v/>
      </c>
    </row>
    <row r="57" spans="3:5" ht="20" customHeight="1" x14ac:dyDescent="0.2">
      <c r="C57" s="78" t="str">
        <f>IF(ISBLANK(Plan!B53),"",Plan!B53)</f>
        <v>Diseño</v>
      </c>
      <c r="D57" s="78" t="str">
        <f>IF(ISBLANK(Plan!C53),"",Plan!C53)</f>
        <v>Realizar modelo Entidad/Relación y BBDD</v>
      </c>
      <c r="E57" s="79" t="str">
        <f>IF(ISBLANK(Plan!B53),"",IF(Plan!Q53&gt;0,Plan!Q53,""))</f>
        <v/>
      </c>
    </row>
    <row r="58" spans="3:5" ht="20" customHeight="1" x14ac:dyDescent="0.2">
      <c r="C58" s="78" t="str">
        <f>IF(ISBLANK(Plan!B54),"",Plan!B54)</f>
        <v>Diseño</v>
      </c>
      <c r="D58" s="78" t="str">
        <f>IF(ISBLANK(Plan!C54),"",Plan!C54)</f>
        <v>Diseñar pantallas</v>
      </c>
      <c r="E58" s="79" t="str">
        <f>IF(ISBLANK(Plan!B54),"",IF(Plan!Q54&gt;0,Plan!Q54,""))</f>
        <v/>
      </c>
    </row>
    <row r="59" spans="3:5" ht="20" customHeight="1" x14ac:dyDescent="0.2">
      <c r="C59" s="78" t="str">
        <f>IF(ISBLANK(Plan!B55),"",Plan!B55)</f>
        <v>Diseño</v>
      </c>
      <c r="D59" s="78" t="str">
        <f>IF(ISBLANK(Plan!C55),"",Plan!C55)</f>
        <v>Inspeccionar diseño (Q) y poner en línea base (GCS)</v>
      </c>
      <c r="E59" s="79" t="str">
        <f>IF(ISBLANK(Plan!B55),"",IF(Plan!Q55&gt;0,Plan!Q55,""))</f>
        <v/>
      </c>
    </row>
    <row r="60" spans="3:5" ht="20" customHeight="1" x14ac:dyDescent="0.2">
      <c r="C60" s="78" t="str">
        <f>IF(ISBLANK(Plan!B56),"",Plan!B56)</f>
        <v>Diseño</v>
      </c>
      <c r="D60" s="78" t="str">
        <f>IF(ISBLANK(Plan!C56),"",Plan!C56)</f>
        <v>Introducir datos de Planificación/Monitorización S6 (esfuerzo real / semana, US)</v>
      </c>
      <c r="E60" s="79" t="str">
        <f>IF(ISBLANK(Plan!B56),"",IF(Plan!Q56&gt;0,Plan!Q56,""))</f>
        <v/>
      </c>
    </row>
    <row r="61" spans="3:5" ht="20" customHeight="1" x14ac:dyDescent="0.2">
      <c r="C61" s="78" t="str">
        <f>IF(ISBLANK(Plan!B57),"",Plan!B57)</f>
        <v/>
      </c>
      <c r="D61" s="78" t="str">
        <f>IF(ISBLANK(Plan!C57),"",Plan!C57)</f>
        <v/>
      </c>
      <c r="E61" s="79" t="str">
        <f>IF(ISBLANK(Plan!B57),"",IF(Plan!Q57&gt;0,Plan!Q57,""))</f>
        <v/>
      </c>
    </row>
    <row r="62" spans="3:5" ht="20" customHeight="1" x14ac:dyDescent="0.2">
      <c r="C62" s="78" t="str">
        <f>IF(ISBLANK(Plan!B58),"",Plan!B58)</f>
        <v/>
      </c>
      <c r="D62" s="78" t="str">
        <f>IF(ISBLANK(Plan!C58),"",Plan!C58)</f>
        <v/>
      </c>
      <c r="E62" s="79" t="str">
        <f>IF(ISBLANK(Plan!B58),"",IF(Plan!Q58&gt;0,Plan!Q58,""))</f>
        <v/>
      </c>
    </row>
    <row r="63" spans="3:5" ht="20" customHeight="1" x14ac:dyDescent="0.2">
      <c r="C63" s="78" t="str">
        <f>IF(ISBLANK(Plan!B59),"",Plan!B59)</f>
        <v>Implementación</v>
      </c>
      <c r="D63" s="78" t="str">
        <f>IF(ISBLANK(Plan!C59),"",Plan!C59)</f>
        <v>Implementar BBDD</v>
      </c>
      <c r="E63" s="79" t="str">
        <f>IF(ISBLANK(Plan!B59),"",IF(Plan!Q59&gt;0,Plan!Q59,""))</f>
        <v/>
      </c>
    </row>
    <row r="64" spans="3:5" ht="20" customHeight="1" x14ac:dyDescent="0.2">
      <c r="C64" s="78" t="str">
        <f>IF(ISBLANK(Plan!B60),"",Plan!B60)</f>
        <v>Implementación</v>
      </c>
      <c r="D64" s="78" t="str">
        <f>IF(ISBLANK(Plan!C60),"",Plan!C60)</f>
        <v>Implementar pantallas</v>
      </c>
      <c r="E64" s="79" t="str">
        <f>IF(ISBLANK(Plan!B60),"",IF(Plan!Q60&gt;0,Plan!Q60,""))</f>
        <v/>
      </c>
    </row>
    <row r="65" spans="3:5" ht="20" customHeight="1" x14ac:dyDescent="0.2">
      <c r="C65" s="78" t="str">
        <f>IF(ISBLANK(Plan!B61),"",Plan!B61)</f>
        <v>Implementación</v>
      </c>
      <c r="D65" s="78" t="str">
        <f>IF(ISBLANK(Plan!C61),"",Plan!C61)</f>
        <v>Implementar US: Alta Vehículo</v>
      </c>
      <c r="E65" s="79" t="str">
        <f>IF(ISBLANK(Plan!B61),"",IF(Plan!Q61&gt;0,Plan!Q61,""))</f>
        <v/>
      </c>
    </row>
    <row r="66" spans="3:5" ht="20" customHeight="1" x14ac:dyDescent="0.2">
      <c r="C66" s="78" t="str">
        <f>IF(ISBLANK(Plan!B62),"",Plan!B62)</f>
        <v>Implementación</v>
      </c>
      <c r="D66" s="78" t="str">
        <f>IF(ISBLANK(Plan!C62),"",Plan!C62)</f>
        <v>Implementar US: Marcas</v>
      </c>
      <c r="E66" s="79" t="str">
        <f>IF(ISBLANK(Plan!B62),"",IF(Plan!Q62&gt;0,Plan!Q62,""))</f>
        <v/>
      </c>
    </row>
    <row r="67" spans="3:5" ht="20" customHeight="1" x14ac:dyDescent="0.2">
      <c r="C67" s="78" t="str">
        <f>IF(ISBLANK(Plan!B63),"",Plan!B63)</f>
        <v>Implementación</v>
      </c>
      <c r="D67" s="78" t="str">
        <f>IF(ISBLANK(Plan!C63),"",Plan!C63)</f>
        <v>Implementar US: Almacén</v>
      </c>
      <c r="E67" s="79" t="str">
        <f>IF(ISBLANK(Plan!B63),"",IF(Plan!Q63&gt;0,Plan!Q63,""))</f>
        <v/>
      </c>
    </row>
    <row r="68" spans="3:5" ht="20" customHeight="1" x14ac:dyDescent="0.2">
      <c r="C68" s="78" t="str">
        <f>IF(ISBLANK(Plan!B64),"",Plan!B64)</f>
        <v>Implementación</v>
      </c>
      <c r="D68" s="78" t="str">
        <f>IF(ISBLANK(Plan!C64),"",Plan!C64)</f>
        <v>Implementar US: Desplegables (Gamma, Marchas, Techos, Puertas)</v>
      </c>
      <c r="E68" s="79" t="str">
        <f>IF(ISBLANK(Plan!B64),"",IF(Plan!Q64&gt;0,Plan!Q64,""))</f>
        <v/>
      </c>
    </row>
    <row r="69" spans="3:5" ht="20" customHeight="1" x14ac:dyDescent="0.2">
      <c r="C69" s="78" t="str">
        <f>IF(ISBLANK(Plan!B65),"",Plan!B65)</f>
        <v>Implementación</v>
      </c>
      <c r="D69" s="78" t="str">
        <f>IF(ISBLANK(Plan!C65),"",Plan!C65)</f>
        <v>Implementar US: Listar coches (filtrado)</v>
      </c>
      <c r="E69" s="79" t="str">
        <f>IF(ISBLANK(Plan!B65),"",IF(Plan!Q65&gt;0,Plan!Q65,""))</f>
        <v/>
      </c>
    </row>
    <row r="70" spans="3:5" ht="20" customHeight="1" x14ac:dyDescent="0.2">
      <c r="C70" s="78" t="str">
        <f>IF(ISBLANK(Plan!B66),"",Plan!B66)</f>
        <v>Implementación</v>
      </c>
      <c r="D70" s="78" t="str">
        <f>IF(ISBLANK(Plan!C66),"",Plan!C66)</f>
        <v>Integrar historias de usuario del sprint</v>
      </c>
      <c r="E70" s="79" t="str">
        <f>IF(ISBLANK(Plan!B66),"",IF(Plan!Q66&gt;0,Plan!Q66,""))</f>
        <v/>
      </c>
    </row>
    <row r="71" spans="3:5" ht="20" customHeight="1" x14ac:dyDescent="0.2">
      <c r="C71" s="78" t="str">
        <f>IF(ISBLANK(Plan!B67),"",Plan!B67)</f>
        <v>Implementación</v>
      </c>
      <c r="D71" s="78" t="str">
        <f>IF(ISBLANK(Plan!C67),"",Plan!C67)</f>
        <v>Inspeccionar código (Q) y poner en línea base (GCS)</v>
      </c>
      <c r="E71" s="79" t="str">
        <f>IF(ISBLANK(Plan!B67),"",IF(Plan!Q67&gt;0,Plan!Q67,""))</f>
        <v/>
      </c>
    </row>
    <row r="72" spans="3:5" ht="20" customHeight="1" x14ac:dyDescent="0.2">
      <c r="C72" s="78" t="str">
        <f>IF(ISBLANK(Plan!B68),"",Plan!B68)</f>
        <v>Implementación</v>
      </c>
      <c r="D72" s="78" t="str">
        <f>IF(ISBLANK(Plan!C68),"",Plan!C68)</f>
        <v>Introducir datos de Planificación/Monitorización S7 (esfuerzo real / semana, US implementadas)</v>
      </c>
      <c r="E72" s="79" t="str">
        <f>IF(ISBLANK(Plan!B68),"",IF(Plan!Q68&gt;0,Plan!Q68,""))</f>
        <v/>
      </c>
    </row>
    <row r="73" spans="3:5" ht="20" customHeight="1" x14ac:dyDescent="0.2">
      <c r="C73" s="78" t="str">
        <f>IF(ISBLANK(Plan!B69),"",Plan!B69)</f>
        <v>Implementación</v>
      </c>
      <c r="D73" s="78" t="str">
        <f>IF(ISBLANK(Plan!C69),"",Plan!C69)</f>
        <v>Registrar datos de calidad S7: ejecucion, defectos y verificacion DoD</v>
      </c>
      <c r="E73" s="79" t="str">
        <f>IF(ISBLANK(Plan!B69),"",IF(Plan!Q69&gt;0,Plan!Q69,""))</f>
        <v/>
      </c>
    </row>
    <row r="74" spans="3:5" ht="20" customHeight="1" x14ac:dyDescent="0.2">
      <c r="C74" s="78" t="e">
        <f>IF(ISBLANK(Plan!#REF!),"",Plan!#REF!)</f>
        <v>#REF!</v>
      </c>
      <c r="D74" s="78" t="e">
        <f>IF(ISBLANK(Plan!#REF!),"",Plan!#REF!)</f>
        <v>#REF!</v>
      </c>
      <c r="E74" s="79" t="e">
        <f>IF(ISBLANK(Plan!#REF!),"",IF(Plan!#REF!&gt;0,Plan!#REF!,""))</f>
        <v>#REF!</v>
      </c>
    </row>
    <row r="75" spans="3:5" ht="21.25" customHeight="1" x14ac:dyDescent="0.2">
      <c r="C75" s="78" t="str">
        <f>IF(ISBLANK(Plan!B70),"",Plan!B70)</f>
        <v/>
      </c>
      <c r="D75" s="78" t="str">
        <f>IF(ISBLANK(Plan!C70),"",Plan!C70)</f>
        <v/>
      </c>
      <c r="E75" s="79" t="str">
        <f>IF(ISBLANK(Plan!B70),"",IF(Plan!Q70&gt;0,Plan!Q70,""))</f>
        <v/>
      </c>
    </row>
    <row r="76" spans="3:5" ht="21.25" customHeight="1" x14ac:dyDescent="0.2">
      <c r="C76" s="78" t="str">
        <f>IF(ISBLANK(Plan!B71),"",Plan!B71)</f>
        <v/>
      </c>
      <c r="D76" s="78" t="str">
        <f>IF(ISBLANK(Plan!C71),"",Plan!C71)</f>
        <v/>
      </c>
      <c r="E76" s="79" t="str">
        <f>IF(ISBLANK(Plan!B71),"",IF(Plan!Q71&gt;0,Plan!Q71,""))</f>
        <v/>
      </c>
    </row>
    <row r="77" spans="3:5" ht="21.25" customHeight="1" x14ac:dyDescent="0.2">
      <c r="C77" s="78" t="str">
        <f>IF(ISBLANK(Plan!B72),"",Plan!B72)</f>
        <v>Pruebas</v>
      </c>
      <c r="D77" s="78" t="str">
        <f>IF(ISBLANK(Plan!C72),"",Plan!C72)</f>
        <v>Definir casos de prueba unitarios y de aceptación por US</v>
      </c>
      <c r="E77" s="79" t="str">
        <f>IF(ISBLANK(Plan!B72),"",IF(Plan!Q72&gt;0,Plan!Q72,""))</f>
        <v/>
      </c>
    </row>
    <row r="78" spans="3:5" ht="21.25" customHeight="1" x14ac:dyDescent="0.2">
      <c r="C78" s="78" t="str">
        <f>IF(ISBLANK(Plan!B73),"",Plan!B73)</f>
        <v>Pruebas</v>
      </c>
      <c r="D78" s="78" t="str">
        <f>IF(ISBLANK(Plan!C73),"",Plan!C73)</f>
        <v>Ejecutar pruebas y registrar resultado esperado vs real y version</v>
      </c>
      <c r="E78" s="79" t="str">
        <f>IF(ISBLANK(Plan!B73),"",IF(Plan!Q73&gt;0,Plan!Q73,""))</f>
        <v/>
      </c>
    </row>
    <row r="79" spans="3:5" ht="21.25" customHeight="1" x14ac:dyDescent="0.2">
      <c r="C79" s="78" t="str">
        <f>IF(ISBLANK(Plan!B74),"",Plan!B74)</f>
        <v>Pruebas</v>
      </c>
      <c r="D79" s="78" t="str">
        <f>IF(ISBLANK(Plan!C74),"",Plan!C74)</f>
        <v>Inspeccionar registros de pruebas, enlazar evidencias y poner en linea base (Q/GCS)</v>
      </c>
      <c r="E79" s="79" t="str">
        <f>IF(ISBLANK(Plan!B74),"",IF(Plan!Q74&gt;0,Plan!Q74,""))</f>
        <v/>
      </c>
    </row>
    <row r="80" spans="3:5" ht="21.25" customHeight="1" x14ac:dyDescent="0.2">
      <c r="C80" s="78" t="str">
        <f>IF(ISBLANK(Plan!B75),"",Plan!B75)</f>
        <v>Pruebas</v>
      </c>
      <c r="D80" s="78" t="str">
        <f>IF(ISBLANK(Plan!C75),"",Plan!C75)</f>
        <v>Introducir datos de Planificación/Monitorización S8 (esfuerzo real / semana, US)</v>
      </c>
      <c r="E80" s="79" t="str">
        <f>IF(ISBLANK(Plan!B75),"",IF(Plan!Q75&gt;0,Plan!Q75,""))</f>
        <v/>
      </c>
    </row>
    <row r="81" spans="3:5" ht="21.25" customHeight="1" x14ac:dyDescent="0.2">
      <c r="C81" s="78" t="str">
        <f>IF(ISBLANK(Plan!B76),"",Plan!B76)</f>
        <v/>
      </c>
      <c r="D81" s="78" t="str">
        <f>IF(ISBLANK(Plan!C76),"",Plan!C76)</f>
        <v/>
      </c>
      <c r="E81" s="79" t="str">
        <f>IF(ISBLANK(Plan!B76),"",IF(Plan!Q76&gt;0,Plan!Q76,""))</f>
        <v/>
      </c>
    </row>
    <row r="82" spans="3:5" ht="21.25" customHeight="1" x14ac:dyDescent="0.2">
      <c r="C82" s="78" t="str">
        <f>IF(ISBLANK(Plan!B77),"",Plan!B77)</f>
        <v/>
      </c>
      <c r="D82" s="78" t="str">
        <f>IF(ISBLANK(Plan!C77),"",Plan!C77)</f>
        <v/>
      </c>
      <c r="E82" s="79" t="str">
        <f>IF(ISBLANK(Plan!B77),"",IF(Plan!Q77&gt;0,Plan!Q77,""))</f>
        <v/>
      </c>
    </row>
    <row r="83" spans="3:5" ht="21.25" customHeight="1" x14ac:dyDescent="0.2">
      <c r="C83" s="78" t="str">
        <f>IF(ISBLANK(Plan!B78),"",Plan!B78)</f>
        <v>Retrospectiva</v>
      </c>
      <c r="D83" s="78" t="str">
        <f>IF(ISBLANK(Plan!C78),"",Plan!C78)</f>
        <v>Realizar informe de retrospectiva del Sprint 1</v>
      </c>
      <c r="E83" s="79" t="str">
        <f>IF(ISBLANK(Plan!B78),"",IF(Plan!Q78&gt;0,Plan!Q78,""))</f>
        <v/>
      </c>
    </row>
    <row r="84" spans="3:5" ht="21.25" customHeight="1" x14ac:dyDescent="0.2">
      <c r="C84" s="78" t="str">
        <f>IF(ISBLANK(Plan!B79),"",Plan!B79)</f>
        <v>Retrospectiva</v>
      </c>
      <c r="D84" s="78" t="str">
        <f>IF(ISBLANK(Plan!C79),"",Plan!C79)</f>
        <v>Evaluar roles y equipo del Sprint 1</v>
      </c>
      <c r="E84" s="79" t="str">
        <f>IF(ISBLANK(Plan!B79),"",IF(Plan!Q79&gt;0,Plan!Q79,""))</f>
        <v/>
      </c>
    </row>
    <row r="85" spans="3:5" ht="21.25" customHeight="1" x14ac:dyDescent="0.2">
      <c r="C85" s="78" t="str">
        <f>IF(ISBLANK(Plan!B80),"",Plan!B80)</f>
        <v>Retrospectiva</v>
      </c>
      <c r="D85" s="78" t="str">
        <f>IF(ISBLANK(Plan!C80),"",Plan!C80)</f>
        <v>Revisar productos y procesos; dificultades, PF y PD</v>
      </c>
      <c r="E85" s="79" t="str">
        <f>IF(ISBLANK(Plan!B80),"",IF(Plan!Q80&gt;0,Plan!Q80,""))</f>
        <v/>
      </c>
    </row>
    <row r="86" spans="3:5" ht="21.25" customHeight="1" x14ac:dyDescent="0.2">
      <c r="C86" s="78" t="str">
        <f>IF(ISBLANK(Plan!B81),"",Plan!B81)</f>
        <v>Retrospectiva</v>
      </c>
      <c r="D86" s="78" t="str">
        <f>IF(ISBLANK(Plan!C81),"",Plan!C81)</f>
        <v>Retrospectiva STARFISH (Keep / More / Start / Stop / Less)</v>
      </c>
      <c r="E86" s="79" t="str">
        <f>IF(ISBLANK(Plan!B81),"",IF(Plan!Q81&gt;0,Plan!Q81,""))</f>
        <v/>
      </c>
    </row>
    <row r="87" spans="3:5" ht="21.25" customHeight="1" x14ac:dyDescent="0.2">
      <c r="C87" s="78" t="str">
        <f>IF(ISBLANK(Plan!B82),"",Plan!B82)</f>
        <v>Retrospectiva</v>
      </c>
      <c r="D87" s="78" t="str">
        <f>IF(ISBLANK(Plan!C82),"",Plan!C82)</f>
        <v>Introducir datos de Planificación/Monitorización S9</v>
      </c>
      <c r="E87" s="79" t="str">
        <f>IF(ISBLANK(Plan!B82),"",IF(Plan!Q82&gt;0,Plan!Q82,""))</f>
        <v/>
      </c>
    </row>
    <row r="88" spans="3:5" ht="21.25" customHeight="1" x14ac:dyDescent="0.2">
      <c r="C88" s="78" t="str">
        <f>IF(ISBLANK(Plan!B83),"",Plan!B83)</f>
        <v>Retrospectiva</v>
      </c>
      <c r="D88" s="78" t="str">
        <f>IF(ISBLANK(Plan!C83),"",Plan!C83)</f>
        <v>Lecciones aprendidas y mejoras al proceso</v>
      </c>
      <c r="E88" s="79" t="str">
        <f>IF(ISBLANK(Plan!B83),"",IF(Plan!Q83&gt;0,Plan!Q83,""))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2:L88"/>
  <sheetViews>
    <sheetView workbookViewId="0"/>
  </sheetViews>
  <sheetFormatPr baseColWidth="10" defaultColWidth="8.83203125" defaultRowHeight="15" x14ac:dyDescent="0.2"/>
  <cols>
    <col min="3" max="3" width="14.83203125" customWidth="1"/>
    <col min="4" max="4" width="45.5" customWidth="1"/>
    <col min="5" max="5" width="16.33203125" customWidth="1"/>
    <col min="8" max="8" width="11" customWidth="1"/>
  </cols>
  <sheetData>
    <row r="2" spans="3:12" ht="20" customHeight="1" x14ac:dyDescent="0.2">
      <c r="C2" s="19" t="s">
        <v>110</v>
      </c>
      <c r="D2" s="20"/>
      <c r="G2" s="14" t="s">
        <v>102</v>
      </c>
    </row>
    <row r="3" spans="3:12" ht="20" customHeight="1" x14ac:dyDescent="0.2">
      <c r="D3" s="75" t="s">
        <v>103</v>
      </c>
      <c r="E3" s="76" t="e">
        <f>SUM(E6:E88)</f>
        <v>#REF!</v>
      </c>
      <c r="G3" t="s">
        <v>104</v>
      </c>
    </row>
    <row r="5" spans="3:12" ht="42" customHeight="1" x14ac:dyDescent="0.2">
      <c r="C5" s="77" t="s">
        <v>1</v>
      </c>
      <c r="D5" s="77" t="s">
        <v>2</v>
      </c>
      <c r="E5" s="77" t="s">
        <v>105</v>
      </c>
      <c r="F5" s="9"/>
      <c r="G5" s="9"/>
      <c r="H5" s="9"/>
      <c r="I5" s="10"/>
      <c r="J5" s="10"/>
      <c r="K5" s="10"/>
      <c r="L5" s="10"/>
    </row>
    <row r="6" spans="3:12" ht="20" customHeight="1" x14ac:dyDescent="0.2">
      <c r="C6" s="78" t="str">
        <f>IF(ISBLANK(Plan!B5),"",Plan!B5)</f>
        <v>Lanzamiento</v>
      </c>
      <c r="D6" s="78" t="str">
        <f>IF(ISBLANK(Plan!C5),"",Plan!C5)</f>
        <v>Asignar equipos y roles</v>
      </c>
      <c r="E6" s="79">
        <f>IF(ISBLANK(Plan!B5),"",IF(Plan!R5&gt;0,Plan!R5,""))</f>
        <v>10</v>
      </c>
    </row>
    <row r="7" spans="3:12" ht="20" customHeight="1" x14ac:dyDescent="0.2">
      <c r="C7" s="78" t="str">
        <f>IF(ISBLANK(Plan!B6),"",Plan!B6)</f>
        <v>Lanzamiento</v>
      </c>
      <c r="D7" s="78" t="str">
        <f>IF(ISBLANK(Plan!C6),"",Plan!C6)</f>
        <v>Definir proceso de reuniones</v>
      </c>
      <c r="E7" s="79">
        <f>IF(ISBLANK(Plan!B6),"",IF(Plan!R6&gt;0,Plan!R6,""))</f>
        <v>20</v>
      </c>
    </row>
    <row r="8" spans="3:12" ht="20" customHeight="1" x14ac:dyDescent="0.2">
      <c r="C8" s="78" t="str">
        <f>IF(ISBLANK(Plan!B7),"",Plan!B7)</f>
        <v>Lanzamiento</v>
      </c>
      <c r="D8" s="78" t="str">
        <f>IF(ISBLANK(Plan!C7),"",Plan!C7)</f>
        <v>Realizar Estándar de Documentación</v>
      </c>
      <c r="E8" s="79">
        <f>IF(ISBLANK(Plan!B7),"",IF(Plan!R7&gt;0,Plan!R7,""))</f>
        <v>20</v>
      </c>
    </row>
    <row r="9" spans="3:12" ht="20" customHeight="1" x14ac:dyDescent="0.2">
      <c r="C9" s="78" t="str">
        <f>IF(ISBLANK(Plan!B8),"",Plan!B8)</f>
        <v>Lanzamiento</v>
      </c>
      <c r="D9" s="78" t="str">
        <f>IF(ISBLANK(Plan!C8),"",Plan!C8)</f>
        <v>Realizar Estándar de Agendas</v>
      </c>
      <c r="E9" s="79">
        <f>IF(ISBLANK(Plan!B8),"",IF(Plan!R8&gt;0,Plan!R8,""))</f>
        <v>10</v>
      </c>
    </row>
    <row r="10" spans="3:12" ht="20" customHeight="1" x14ac:dyDescent="0.2">
      <c r="C10" s="78" t="str">
        <f>IF(ISBLANK(Plan!B9),"",Plan!B9)</f>
        <v>Lanzamiento</v>
      </c>
      <c r="D10" s="78" t="str">
        <f>IF(ISBLANK(Plan!C9),"",Plan!C9)</f>
        <v>Realizar Estándar de Actas</v>
      </c>
      <c r="E10" s="79" t="str">
        <f>IF(ISBLANK(Plan!B9),"",IF(Plan!R9&gt;0,Plan!R9,""))</f>
        <v/>
      </c>
    </row>
    <row r="11" spans="3:12" ht="20" customHeight="1" x14ac:dyDescent="0.2">
      <c r="C11" s="78" t="str">
        <f>IF(ISBLANK(Plan!B10),"",Plan!B10)</f>
        <v>Lanzamiento</v>
      </c>
      <c r="D11" s="78" t="str">
        <f>IF(ISBLANK(Plan!C10),"",Plan!C10)</f>
        <v>Definir Ciclo de Vida a aplicar (actividades)</v>
      </c>
      <c r="E11" s="79">
        <f>IF(ISBLANK(Plan!B10),"",IF(Plan!R10&gt;0,Plan!R10,""))</f>
        <v>10</v>
      </c>
    </row>
    <row r="12" spans="3:12" ht="20" customHeight="1" x14ac:dyDescent="0.2">
      <c r="C12" s="78" t="str">
        <f>IF(ISBLANK(Plan!B11),"",Plan!B11)</f>
        <v>Lanzamiento</v>
      </c>
      <c r="D12" s="78" t="str">
        <f>IF(ISBLANK(Plan!C11),"",Plan!C11)</f>
        <v>Definir outputs y plantillas del CV</v>
      </c>
      <c r="E12" s="79" t="str">
        <f>IF(ISBLANK(Plan!B11),"",IF(Plan!R11&gt;0,Plan!R11,""))</f>
        <v/>
      </c>
    </row>
    <row r="13" spans="3:12" ht="20" customHeight="1" x14ac:dyDescent="0.2">
      <c r="C13" s="78" t="str">
        <f>IF(ISBLANK(Plan!B12),"",Plan!B12)</f>
        <v>Lanzamiento</v>
      </c>
      <c r="D13" s="78" t="str">
        <f>IF(ISBLANK(Plan!C12),"",Plan!C12)</f>
        <v>Definir Entorno de Desarrollo</v>
      </c>
      <c r="E13" s="79">
        <f>IF(ISBLANK(Plan!B12),"",IF(Plan!R12&gt;0,Plan!R12,""))</f>
        <v>15</v>
      </c>
    </row>
    <row r="14" spans="3:12" ht="20" customHeight="1" x14ac:dyDescent="0.2">
      <c r="C14" s="78" t="str">
        <f>IF(ISBLANK(Plan!B13),"",Plan!B13)</f>
        <v>Lanzamiento</v>
      </c>
      <c r="D14" s="78" t="str">
        <f>IF(ISBLANK(Plan!C13),"",Plan!C13)</f>
        <v>Configurar Entorno de Desarrollo</v>
      </c>
      <c r="E14" s="79" t="str">
        <f>IF(ISBLANK(Plan!B13),"",IF(Plan!R13&gt;0,Plan!R13,""))</f>
        <v/>
      </c>
    </row>
    <row r="15" spans="3:12" ht="20" customHeight="1" x14ac:dyDescent="0.2">
      <c r="C15" s="78" t="str">
        <f>IF(ISBLANK(Plan!B14),"",Plan!B14)</f>
        <v>Lanzamiento</v>
      </c>
      <c r="D15" s="78" t="str">
        <f>IF(ISBLANK(Plan!C14),"",Plan!C14)</f>
        <v>Definir Estándar de Codificación</v>
      </c>
      <c r="E15" s="79">
        <f>IF(ISBLANK(Plan!B14),"",IF(Plan!R14&gt;0,Plan!R14,""))</f>
        <v>10</v>
      </c>
    </row>
    <row r="16" spans="3:12" ht="20" customHeight="1" x14ac:dyDescent="0.2">
      <c r="C16" s="78"/>
      <c r="D16" s="78"/>
      <c r="E16" s="79"/>
    </row>
    <row r="17" spans="3:5" ht="20" customHeight="1" x14ac:dyDescent="0.2">
      <c r="C17" s="78"/>
      <c r="D17" s="78"/>
      <c r="E17" s="79"/>
    </row>
    <row r="18" spans="3:5" ht="20" customHeight="1" x14ac:dyDescent="0.2">
      <c r="C18" s="78" t="str">
        <f>IF(ISBLANK(Plan!B15),"",Plan!B15)</f>
        <v>Lanzamiento</v>
      </c>
      <c r="D18" s="78" t="str">
        <f>IF(ISBLANK(Plan!C15),"",Plan!C15)</f>
        <v>Introducir datos de Planificación/Monitorización S1 (esfuerzo real / semana)</v>
      </c>
      <c r="E18" s="79">
        <f>IF(ISBLANK(Plan!B15),"",IF(Plan!R15&gt;0,Plan!R15,""))</f>
        <v>5</v>
      </c>
    </row>
    <row r="19" spans="3:5" ht="20" customHeight="1" x14ac:dyDescent="0.2">
      <c r="C19" s="78" t="str">
        <f>IF(ISBLANK(Plan!B16),"",Plan!B16)</f>
        <v/>
      </c>
      <c r="D19" s="78" t="str">
        <f>IF(ISBLANK(Plan!C16),"",Plan!C16)</f>
        <v/>
      </c>
      <c r="E19" s="79" t="str">
        <f>IF(ISBLANK(Plan!B16),"",IF(Plan!R16&gt;0,Plan!R16,""))</f>
        <v/>
      </c>
    </row>
    <row r="20" spans="3:5" ht="20" customHeight="1" x14ac:dyDescent="0.2">
      <c r="C20" s="78" t="str">
        <f>IF(ISBLANK(Plan!B17),"",Plan!B17)</f>
        <v/>
      </c>
      <c r="D20" s="78" t="str">
        <f>IF(ISBLANK(Plan!C17),"",Plan!C17)</f>
        <v/>
      </c>
      <c r="E20" s="79" t="str">
        <f>IF(ISBLANK(Plan!B17),"",IF(Plan!R17&gt;0,Plan!R17,""))</f>
        <v/>
      </c>
    </row>
    <row r="21" spans="3:5" ht="20" customHeight="1" x14ac:dyDescent="0.2">
      <c r="C21" s="78" t="str">
        <f>IF(ISBLANK(Plan!B18),"",Plan!B18)</f>
        <v/>
      </c>
      <c r="D21" s="78" t="str">
        <f>IF(ISBLANK(Plan!C18),"",Plan!C18)</f>
        <v/>
      </c>
      <c r="E21" s="79" t="str">
        <f>IF(ISBLANK(Plan!B18),"",IF(Plan!R18&gt;0,Plan!R18,""))</f>
        <v/>
      </c>
    </row>
    <row r="22" spans="3:5" ht="20" customHeight="1" x14ac:dyDescent="0.2">
      <c r="C22" s="78" t="str">
        <f>IF(ISBLANK(Plan!B19),"",Plan!B19)</f>
        <v>Requisitos</v>
      </c>
      <c r="D22" s="78" t="str">
        <f>IF(ISBLANK(Plan!C19),"",Plan!C19)</f>
        <v>Obtener Historias de Usuario (US)</v>
      </c>
      <c r="E22" s="79" t="str">
        <f>IF(ISBLANK(Plan!B19),"",IF(Plan!R19&gt;0,Plan!R19,""))</f>
        <v/>
      </c>
    </row>
    <row r="23" spans="3:5" ht="20" customHeight="1" x14ac:dyDescent="0.2">
      <c r="C23" s="78" t="str">
        <f>IF(ISBLANK(Plan!B20),"",Plan!B20)</f>
        <v>Requisitos</v>
      </c>
      <c r="D23" s="78" t="str">
        <f>IF(ISBLANK(Plan!C20),"",Plan!C20)</f>
        <v>Describir las US según plantilla (Como/Quiero/Para + criterios de aceptación)</v>
      </c>
      <c r="E23" s="79" t="str">
        <f>IF(ISBLANK(Plan!B20),"",IF(Plan!R20&gt;0,Plan!R20,""))</f>
        <v/>
      </c>
    </row>
    <row r="24" spans="3:5" ht="20" customHeight="1" x14ac:dyDescent="0.2">
      <c r="C24" s="78" t="str">
        <f>IF(ISBLANK(Plan!B21),"",Plan!B21)</f>
        <v>Requisitos</v>
      </c>
      <c r="D24" s="78" t="str">
        <f>IF(ISBLANK(Plan!C21),"",Plan!C21)</f>
        <v>Completar campos de US para puntos de función</v>
      </c>
      <c r="E24" s="79" t="str">
        <f>IF(ISBLANK(Plan!B21),"",IF(Plan!R21&gt;0,Plan!R21,""))</f>
        <v/>
      </c>
    </row>
    <row r="25" spans="3:5" ht="20" customHeight="1" x14ac:dyDescent="0.2">
      <c r="C25" s="78" t="str">
        <f>IF(ISBLANK(Plan!B22),"",Plan!B22)</f>
        <v>Requisitos</v>
      </c>
      <c r="D25" s="78" t="str">
        <f>IF(ISBLANK(Plan!C22),"",Plan!C22)</f>
        <v>Elaborar Product Backlog priorizado</v>
      </c>
      <c r="E25" s="79" t="str">
        <f>IF(ISBLANK(Plan!B22),"",IF(Plan!R22&gt;0,Plan!R22,""))</f>
        <v/>
      </c>
    </row>
    <row r="26" spans="3:5" ht="20" customHeight="1" x14ac:dyDescent="0.2">
      <c r="C26" s="78" t="str">
        <f>IF(ISBLANK(Plan!B23),"",Plan!B23)</f>
        <v>Requisitos</v>
      </c>
      <c r="D26" s="78" t="str">
        <f>IF(ISBLANK(Plan!C23),"",Plan!C23)</f>
        <v>Inspeccionar las US y criterios de aceptacion (Q)</v>
      </c>
      <c r="E26" s="79" t="str">
        <f>IF(ISBLANK(Plan!B23),"",IF(Plan!R23&gt;0,Plan!R23,""))</f>
        <v/>
      </c>
    </row>
    <row r="27" spans="3:5" ht="20" customHeight="1" x14ac:dyDescent="0.2">
      <c r="C27" s="78" t="str">
        <f>IF(ISBLANK(Plan!B24),"",Plan!B24)</f>
        <v>Requisitos</v>
      </c>
      <c r="D27" s="78" t="str">
        <f>IF(ISBLANK(Plan!C24),"",Plan!C24)</f>
        <v>Poner en línea base las US (GCS)</v>
      </c>
      <c r="E27" s="79" t="str">
        <f>IF(ISBLANK(Plan!B24),"",IF(Plan!R24&gt;0,Plan!R24,""))</f>
        <v/>
      </c>
    </row>
    <row r="28" spans="3:5" ht="20" customHeight="1" x14ac:dyDescent="0.2">
      <c r="C28" s="78" t="str">
        <f>IF(ISBLANK(Plan!B25),"",Plan!B25)</f>
        <v>Requisitos</v>
      </c>
      <c r="D28" s="78" t="str">
        <f>IF(ISBLANK(Plan!C25),"",Plan!C25)</f>
        <v>Introducir datos de Planificación/Monitorización(esfuerzo real / semana) S3</v>
      </c>
      <c r="E28" s="79" t="str">
        <f>IF(ISBLANK(Plan!B25),"",IF(Plan!R25&gt;0,Plan!R25,""))</f>
        <v/>
      </c>
    </row>
    <row r="29" spans="3:5" ht="20" customHeight="1" x14ac:dyDescent="0.2">
      <c r="C29" s="78" t="str">
        <f>IF(ISBLANK(Plan!B26),"",Plan!B26)</f>
        <v>Requisitos</v>
      </c>
      <c r="D29" s="78" t="str">
        <f>IF(ISBLANK(Plan!C26),"",Plan!C26)</f>
        <v>Registrar datos de calidad S3</v>
      </c>
      <c r="E29" s="79" t="str">
        <f>IF(ISBLANK(Plan!B26),"",IF(Plan!R26&gt;0,Plan!R26,""))</f>
        <v/>
      </c>
    </row>
    <row r="30" spans="3:5" ht="20" customHeight="1" x14ac:dyDescent="0.2">
      <c r="C30" s="78" t="str">
        <f>IF(ISBLANK(Plan!B27),"",Plan!B27)</f>
        <v/>
      </c>
      <c r="D30" s="78" t="str">
        <f>IF(ISBLANK(Plan!C27),"",Plan!C27)</f>
        <v/>
      </c>
      <c r="E30" s="79" t="str">
        <f>IF(ISBLANK(Plan!B27),"",IF(Plan!R27&gt;0,Plan!R27,""))</f>
        <v/>
      </c>
    </row>
    <row r="31" spans="3:5" ht="20" customHeight="1" x14ac:dyDescent="0.2">
      <c r="C31" s="78" t="str">
        <f>IF(ISBLANK(Plan!B28),"",Plan!B28)</f>
        <v/>
      </c>
      <c r="D31" s="78" t="str">
        <f>IF(ISBLANK(Plan!C28),"",Plan!C28)</f>
        <v/>
      </c>
      <c r="E31" s="79" t="str">
        <f>IF(ISBLANK(Plan!B28),"",IF(Plan!R28&gt;0,Plan!R28,""))</f>
        <v/>
      </c>
    </row>
    <row r="32" spans="3:5" ht="20" customHeight="1" x14ac:dyDescent="0.2">
      <c r="C32" s="78" t="str">
        <f>IF(ISBLANK(Plan!B29),"",Plan!B29)</f>
        <v/>
      </c>
      <c r="D32" s="78" t="str">
        <f>IF(ISBLANK(Plan!C29),"",Plan!C29)</f>
        <v/>
      </c>
      <c r="E32" s="79" t="str">
        <f>IF(ISBLANK(Plan!B29),"",IF(Plan!R29&gt;0,Plan!R29,""))</f>
        <v/>
      </c>
    </row>
    <row r="33" spans="3:5" ht="20" customHeight="1" x14ac:dyDescent="0.2">
      <c r="C33" s="78" t="str">
        <f>IF(ISBLANK(Plan!B30),"",Plan!B30)</f>
        <v/>
      </c>
      <c r="D33" s="78" t="str">
        <f>IF(ISBLANK(Plan!C30),"",Plan!C30)</f>
        <v/>
      </c>
      <c r="E33" s="79" t="str">
        <f>IF(ISBLANK(Plan!B30),"",IF(Plan!R30&gt;0,Plan!R30,""))</f>
        <v/>
      </c>
    </row>
    <row r="34" spans="3:5" ht="20" customHeight="1" x14ac:dyDescent="0.2">
      <c r="C34" s="78" t="str">
        <f>IF(ISBLANK(Plan!B31),"",Plan!B31)</f>
        <v>Estrategia</v>
      </c>
      <c r="D34" s="78" t="str">
        <f>IF(ISBLANK(Plan!C31),"",Plan!C31)</f>
        <v>Estimar Puntos de Función sobre las US</v>
      </c>
      <c r="E34" s="79" t="str">
        <f>IF(ISBLANK(Plan!B31),"",IF(Plan!R31&gt;0,Plan!R31,""))</f>
        <v/>
      </c>
    </row>
    <row r="35" spans="3:5" ht="20" customHeight="1" x14ac:dyDescent="0.2">
      <c r="C35" s="78" t="str">
        <f>IF(ISBLANK(Plan!B32),"",Plan!B32)</f>
        <v>Estrategia</v>
      </c>
      <c r="D35" s="78" t="str">
        <f>IF(ISBLANK(Plan!C32),"",Plan!C32)</f>
        <v>Calcular esfuerzo (horas)</v>
      </c>
      <c r="E35" s="79" t="str">
        <f>IF(ISBLANK(Plan!B32),"",IF(Plan!R32&gt;0,Plan!R32,""))</f>
        <v/>
      </c>
    </row>
    <row r="36" spans="3:5" ht="20" customHeight="1" x14ac:dyDescent="0.2">
      <c r="C36" s="78" t="str">
        <f>IF(ISBLANK(Plan!B33),"",Plan!B33)</f>
        <v>Estrategia</v>
      </c>
      <c r="D36" s="78" t="str">
        <f>IF(ISBLANK(Plan!C33),"",Plan!C33)</f>
        <v>Establecer estrategia de desarrollo (US Sprint 1 y Sprint 2)</v>
      </c>
      <c r="E36" s="79" t="str">
        <f>IF(ISBLANK(Plan!B33),"",IF(Plan!R33&gt;0,Plan!R33,""))</f>
        <v/>
      </c>
    </row>
    <row r="37" spans="3:5" ht="20" customHeight="1" x14ac:dyDescent="0.2">
      <c r="C37" s="78" t="str">
        <f>IF(ISBLANK(Plan!B34),"",Plan!B34)</f>
        <v>Estrategia</v>
      </c>
      <c r="D37" s="78" t="str">
        <f>IF(ISBLANK(Plan!C34),"",Plan!C34)</f>
        <v>Elaborar documento de Estrategia</v>
      </c>
      <c r="E37" s="79" t="str">
        <f>IF(ISBLANK(Plan!B34),"",IF(Plan!R34&gt;0,Plan!R34,""))</f>
        <v/>
      </c>
    </row>
    <row r="38" spans="3:5" ht="20" customHeight="1" x14ac:dyDescent="0.2">
      <c r="C38" s="78" t="str">
        <f>IF(ISBLANK(Plan!B35),"",Plan!B35)</f>
        <v>Estrategia</v>
      </c>
      <c r="D38" s="78" t="str">
        <f>IF(ISBLANK(Plan!C35),"",Plan!C35)</f>
        <v>Elaborar Sprint Backlog con Sprint Goal y tareas de calidad</v>
      </c>
      <c r="E38" s="79" t="str">
        <f>IF(ISBLANK(Plan!B35),"",IF(Plan!R35&gt;0,Plan!R35,""))</f>
        <v/>
      </c>
    </row>
    <row r="39" spans="3:5" ht="20" customHeight="1" x14ac:dyDescent="0.2">
      <c r="C39" s="78" t="str">
        <f>IF(ISBLANK(Plan!B36),"",Plan!B36)</f>
        <v>Estrategia</v>
      </c>
      <c r="D39" s="78" t="str">
        <f>IF(ISBLANK(Plan!C36),"",Plan!C36)</f>
        <v>Inspeccionar outputs de Estrategia (Q)</v>
      </c>
      <c r="E39" s="79" t="str">
        <f>IF(ISBLANK(Plan!B36),"",IF(Plan!R36&gt;0,Plan!R36,""))</f>
        <v/>
      </c>
    </row>
    <row r="40" spans="3:5" ht="20" customHeight="1" x14ac:dyDescent="0.2">
      <c r="C40" s="78" t="str">
        <f>IF(ISBLANK(Plan!B37),"",Plan!B37)</f>
        <v>Estrategia</v>
      </c>
      <c r="D40" s="78" t="str">
        <f>IF(ISBLANK(Plan!C37),"",Plan!C37)</f>
        <v>Poner en línea base Estrategia y Sprint Backlog (GCS)</v>
      </c>
      <c r="E40" s="79" t="str">
        <f>IF(ISBLANK(Plan!B37),"",IF(Plan!R37&gt;0,Plan!R37,""))</f>
        <v/>
      </c>
    </row>
    <row r="41" spans="3:5" ht="20" customHeight="1" x14ac:dyDescent="0.2">
      <c r="C41" s="78" t="str">
        <f>IF(ISBLANK(Plan!B38),"",Plan!B38)</f>
        <v>Estrategia</v>
      </c>
      <c r="D41" s="78" t="str">
        <f>IF(ISBLANK(Plan!C38),"",Plan!C38)</f>
        <v>Introducir datos de Planificación/Monitorización S4 (esfuerzo real / semana)</v>
      </c>
      <c r="E41" s="79" t="str">
        <f>IF(ISBLANK(Plan!B38),"",IF(Plan!R38&gt;0,Plan!R38,""))</f>
        <v/>
      </c>
    </row>
    <row r="42" spans="3:5" ht="20" customHeight="1" x14ac:dyDescent="0.2">
      <c r="C42" s="78" t="str">
        <f>IF(ISBLANK(Plan!B39),"",Plan!B39)</f>
        <v>Estrategia</v>
      </c>
      <c r="D42" s="78" t="str">
        <f>IF(ISBLANK(Plan!C39),"",Plan!C39)</f>
        <v>Registrar datos de calidad S4</v>
      </c>
      <c r="E42" s="79" t="str">
        <f>IF(ISBLANK(Plan!B39),"",IF(Plan!R39&gt;0,Plan!R39,""))</f>
        <v/>
      </c>
    </row>
    <row r="43" spans="3:5" ht="20" customHeight="1" x14ac:dyDescent="0.2">
      <c r="C43" s="78" t="str">
        <f>IF(ISBLANK(Plan!B40),"",Plan!B40)</f>
        <v/>
      </c>
      <c r="D43" s="78" t="str">
        <f>IF(ISBLANK(Plan!C40),"",Plan!C40)</f>
        <v/>
      </c>
      <c r="E43" s="79" t="str">
        <f>IF(ISBLANK(Plan!B40),"",IF(Plan!R40&gt;0,Plan!R40,""))</f>
        <v/>
      </c>
    </row>
    <row r="44" spans="3:5" ht="20" customHeight="1" x14ac:dyDescent="0.2">
      <c r="C44" s="78" t="str">
        <f>IF(ISBLANK(Plan!B41),"",Plan!B41)</f>
        <v/>
      </c>
      <c r="D44" s="78" t="str">
        <f>IF(ISBLANK(Plan!C41),"",Plan!C41)</f>
        <v/>
      </c>
      <c r="E44" s="79" t="str">
        <f>IF(ISBLANK(Plan!B41),"",IF(Plan!R41&gt;0,Plan!R41,""))</f>
        <v/>
      </c>
    </row>
    <row r="45" spans="3:5" ht="20" customHeight="1" x14ac:dyDescent="0.2">
      <c r="C45" s="78" t="str">
        <f>IF(ISBLANK(Plan!B42),"",Plan!B42)</f>
        <v/>
      </c>
      <c r="D45" s="78" t="str">
        <f>IF(ISBLANK(Plan!C42),"",Plan!C42)</f>
        <v/>
      </c>
      <c r="E45" s="79" t="str">
        <f>IF(ISBLANK(Plan!B42),"",IF(Plan!R42&gt;0,Plan!R42,""))</f>
        <v/>
      </c>
    </row>
    <row r="46" spans="3:5" ht="20" customHeight="1" x14ac:dyDescent="0.2">
      <c r="C46" s="78" t="str">
        <f>IF(ISBLANK(Plan!B43),"",Plan!B43)</f>
        <v>Planificación</v>
      </c>
      <c r="D46" s="78" t="str">
        <f>IF(ISBLANK(Plan!C43),"",Plan!C43)</f>
        <v>Realizar Plan de Gestión de Configuración (PGCS)</v>
      </c>
      <c r="E46" s="79" t="str">
        <f>IF(ISBLANK(Plan!B43),"",IF(Plan!R43&gt;0,Plan!R43,""))</f>
        <v/>
      </c>
    </row>
    <row r="47" spans="3:5" ht="20" customHeight="1" x14ac:dyDescent="0.2">
      <c r="C47" s="78" t="str">
        <f>IF(ISBLANK(Plan!B44),"",Plan!B44)</f>
        <v>Planificación</v>
      </c>
      <c r="D47" s="78" t="str">
        <f>IF(ISBLANK(Plan!C44),"",Plan!C44)</f>
        <v>Realizar Plan de Calidad, DoD y matriz de evidencias</v>
      </c>
      <c r="E47" s="79" t="str">
        <f>IF(ISBLANK(Plan!B44),"",IF(Plan!R44&gt;0,Plan!R44,""))</f>
        <v/>
      </c>
    </row>
    <row r="48" spans="3:5" ht="20" customHeight="1" x14ac:dyDescent="0.2">
      <c r="C48" s="78" t="str">
        <f>IF(ISBLANK(Plan!B45),"",Plan!B45)</f>
        <v>Planificación</v>
      </c>
      <c r="D48" s="78" t="str">
        <f>IF(ISBLANK(Plan!C45),"",Plan!C45)</f>
        <v>Realizar Plan de Proyecto del Sprint 1</v>
      </c>
      <c r="E48" s="79" t="str">
        <f>IF(ISBLANK(Plan!B45),"",IF(Plan!R45&gt;0,Plan!R45,""))</f>
        <v/>
      </c>
    </row>
    <row r="49" spans="3:5" ht="20" customHeight="1" x14ac:dyDescent="0.2">
      <c r="C49" s="78" t="str">
        <f>IF(ISBLANK(Plan!B46),"",Plan!B46)</f>
        <v>Planificación</v>
      </c>
      <c r="D49" s="78" t="str">
        <f>IF(ISBLANK(Plan!C46),"",Plan!C46)</f>
        <v>Realizar Diagrama de Gantt del Sprint 1</v>
      </c>
      <c r="E49" s="79" t="str">
        <f>IF(ISBLANK(Plan!B46),"",IF(Plan!R46&gt;0,Plan!R46,""))</f>
        <v/>
      </c>
    </row>
    <row r="50" spans="3:5" ht="20" customHeight="1" x14ac:dyDescent="0.2">
      <c r="C50" s="78" t="e">
        <f>IF(ISBLANK(Plan!#REF!),"",Plan!#REF!)</f>
        <v>#REF!</v>
      </c>
      <c r="D50" s="78" t="e">
        <f>IF(ISBLANK(Plan!#REF!),"",Plan!#REF!)</f>
        <v>#REF!</v>
      </c>
      <c r="E50" s="79" t="e">
        <f>IF(ISBLANK(Plan!#REF!),"",IF(Plan!#REF!&gt;0,Plan!#REF!,""))</f>
        <v>#REF!</v>
      </c>
    </row>
    <row r="51" spans="3:5" ht="20" customHeight="1" x14ac:dyDescent="0.2">
      <c r="C51" s="78" t="str">
        <f>IF(ISBLANK(Plan!B47),"",Plan!B47)</f>
        <v>Planificación</v>
      </c>
      <c r="D51" s="78" t="str">
        <f>IF(ISBLANK(Plan!C47),"",Plan!C47)</f>
        <v>Inspeccionar planes (Q) y poner en línea base (GCS)</v>
      </c>
      <c r="E51" s="79" t="str">
        <f>IF(ISBLANK(Plan!B47),"",IF(Plan!R47&gt;0,Plan!R47,""))</f>
        <v/>
      </c>
    </row>
    <row r="52" spans="3:5" ht="20" customHeight="1" x14ac:dyDescent="0.2">
      <c r="C52" s="78" t="str">
        <f>IF(ISBLANK(Plan!B48),"",Plan!B48)</f>
        <v>Planificación</v>
      </c>
      <c r="D52" s="78" t="str">
        <f>IF(ISBLANK(Plan!C48),"",Plan!C48)</f>
        <v>Introducir datos de Planificación/Monitorización S5 (esfuerzo real / semana)</v>
      </c>
      <c r="E52" s="79" t="str">
        <f>IF(ISBLANK(Plan!B48),"",IF(Plan!R48&gt;0,Plan!R48,""))</f>
        <v/>
      </c>
    </row>
    <row r="53" spans="3:5" ht="20" customHeight="1" x14ac:dyDescent="0.2">
      <c r="C53" s="78" t="str">
        <f>IF(ISBLANK(Plan!B49),"",Plan!B49)</f>
        <v>Planificación</v>
      </c>
      <c r="D53" s="78" t="str">
        <f>IF(ISBLANK(Plan!C49),"",Plan!C49)</f>
        <v>Registrar datos de calidad S5: revisiones, pruebas y defectos</v>
      </c>
      <c r="E53" s="79" t="str">
        <f>IF(ISBLANK(Plan!B49),"",IF(Plan!R49&gt;0,Plan!R49,""))</f>
        <v/>
      </c>
    </row>
    <row r="54" spans="3:5" ht="20" customHeight="1" x14ac:dyDescent="0.2">
      <c r="C54" s="78" t="str">
        <f>IF(ISBLANK(Plan!B50),"",Plan!B50)</f>
        <v/>
      </c>
      <c r="D54" s="78" t="str">
        <f>IF(ISBLANK(Plan!C50),"",Plan!C50)</f>
        <v/>
      </c>
      <c r="E54" s="79" t="str">
        <f>IF(ISBLANK(Plan!B50),"",IF(Plan!R50&gt;0,Plan!R50,""))</f>
        <v/>
      </c>
    </row>
    <row r="55" spans="3:5" ht="20" customHeight="1" x14ac:dyDescent="0.2">
      <c r="C55" s="78" t="str">
        <f>IF(ISBLANK(Plan!B51),"",Plan!B51)</f>
        <v/>
      </c>
      <c r="D55" s="78" t="str">
        <f>IF(ISBLANK(Plan!C51),"",Plan!C51)</f>
        <v/>
      </c>
      <c r="E55" s="79" t="str">
        <f>IF(ISBLANK(Plan!B51),"",IF(Plan!R51&gt;0,Plan!R51,""))</f>
        <v/>
      </c>
    </row>
    <row r="56" spans="3:5" ht="20" customHeight="1" x14ac:dyDescent="0.2">
      <c r="C56" s="78" t="str">
        <f>IF(ISBLANK(Plan!B52),"",Plan!B52)</f>
        <v>Diseño</v>
      </c>
      <c r="D56" s="78" t="str">
        <f>IF(ISBLANK(Plan!C52),"",Plan!C52)</f>
        <v>Realizar diagramas de Casos de Uso</v>
      </c>
      <c r="E56" s="79" t="str">
        <f>IF(ISBLANK(Plan!B52),"",IF(Plan!R52&gt;0,Plan!R52,""))</f>
        <v/>
      </c>
    </row>
    <row r="57" spans="3:5" ht="20" customHeight="1" x14ac:dyDescent="0.2">
      <c r="C57" s="78" t="str">
        <f>IF(ISBLANK(Plan!B53),"",Plan!B53)</f>
        <v>Diseño</v>
      </c>
      <c r="D57" s="78" t="str">
        <f>IF(ISBLANK(Plan!C53),"",Plan!C53)</f>
        <v>Realizar modelo Entidad/Relación y BBDD</v>
      </c>
      <c r="E57" s="79" t="str">
        <f>IF(ISBLANK(Plan!B53),"",IF(Plan!R53&gt;0,Plan!R53,""))</f>
        <v/>
      </c>
    </row>
    <row r="58" spans="3:5" ht="20" customHeight="1" x14ac:dyDescent="0.2">
      <c r="C58" s="78" t="str">
        <f>IF(ISBLANK(Plan!B54),"",Plan!B54)</f>
        <v>Diseño</v>
      </c>
      <c r="D58" s="78" t="str">
        <f>IF(ISBLANK(Plan!C54),"",Plan!C54)</f>
        <v>Diseñar pantallas</v>
      </c>
      <c r="E58" s="79" t="str">
        <f>IF(ISBLANK(Plan!B54),"",IF(Plan!R54&gt;0,Plan!R54,""))</f>
        <v/>
      </c>
    </row>
    <row r="59" spans="3:5" ht="20" customHeight="1" x14ac:dyDescent="0.2">
      <c r="C59" s="78" t="str">
        <f>IF(ISBLANK(Plan!B55),"",Plan!B55)</f>
        <v>Diseño</v>
      </c>
      <c r="D59" s="78" t="str">
        <f>IF(ISBLANK(Plan!C55),"",Plan!C55)</f>
        <v>Inspeccionar diseño (Q) y poner en línea base (GCS)</v>
      </c>
      <c r="E59" s="79" t="str">
        <f>IF(ISBLANK(Plan!B55),"",IF(Plan!R55&gt;0,Plan!R55,""))</f>
        <v/>
      </c>
    </row>
    <row r="60" spans="3:5" ht="20" customHeight="1" x14ac:dyDescent="0.2">
      <c r="C60" s="78" t="str">
        <f>IF(ISBLANK(Plan!B56),"",Plan!B56)</f>
        <v>Diseño</v>
      </c>
      <c r="D60" s="78" t="str">
        <f>IF(ISBLANK(Plan!C56),"",Plan!C56)</f>
        <v>Introducir datos de Planificación/Monitorización S6 (esfuerzo real / semana, US)</v>
      </c>
      <c r="E60" s="79" t="str">
        <f>IF(ISBLANK(Plan!B56),"",IF(Plan!R56&gt;0,Plan!R56,""))</f>
        <v/>
      </c>
    </row>
    <row r="61" spans="3:5" ht="20" customHeight="1" x14ac:dyDescent="0.2">
      <c r="C61" s="78" t="str">
        <f>IF(ISBLANK(Plan!B57),"",Plan!B57)</f>
        <v/>
      </c>
      <c r="D61" s="78" t="str">
        <f>IF(ISBLANK(Plan!C57),"",Plan!C57)</f>
        <v/>
      </c>
      <c r="E61" s="79" t="str">
        <f>IF(ISBLANK(Plan!B57),"",IF(Plan!R57&gt;0,Plan!R57,""))</f>
        <v/>
      </c>
    </row>
    <row r="62" spans="3:5" ht="20" customHeight="1" x14ac:dyDescent="0.2">
      <c r="C62" s="78" t="str">
        <f>IF(ISBLANK(Plan!B58),"",Plan!B58)</f>
        <v/>
      </c>
      <c r="D62" s="78" t="str">
        <f>IF(ISBLANK(Plan!C58),"",Plan!C58)</f>
        <v/>
      </c>
      <c r="E62" s="79" t="str">
        <f>IF(ISBLANK(Plan!B58),"",IF(Plan!R58&gt;0,Plan!R58,""))</f>
        <v/>
      </c>
    </row>
    <row r="63" spans="3:5" ht="20" customHeight="1" x14ac:dyDescent="0.2">
      <c r="C63" s="78" t="str">
        <f>IF(ISBLANK(Plan!B59),"",Plan!B59)</f>
        <v>Implementación</v>
      </c>
      <c r="D63" s="78" t="str">
        <f>IF(ISBLANK(Plan!C59),"",Plan!C59)</f>
        <v>Implementar BBDD</v>
      </c>
      <c r="E63" s="79" t="str">
        <f>IF(ISBLANK(Plan!B59),"",IF(Plan!R59&gt;0,Plan!R59,""))</f>
        <v/>
      </c>
    </row>
    <row r="64" spans="3:5" ht="20" customHeight="1" x14ac:dyDescent="0.2">
      <c r="C64" s="78" t="str">
        <f>IF(ISBLANK(Plan!B60),"",Plan!B60)</f>
        <v>Implementación</v>
      </c>
      <c r="D64" s="78" t="str">
        <f>IF(ISBLANK(Plan!C60),"",Plan!C60)</f>
        <v>Implementar pantallas</v>
      </c>
      <c r="E64" s="79" t="str">
        <f>IF(ISBLANK(Plan!B60),"",IF(Plan!R60&gt;0,Plan!R60,""))</f>
        <v/>
      </c>
    </row>
    <row r="65" spans="3:5" ht="20" customHeight="1" x14ac:dyDescent="0.2">
      <c r="C65" s="78" t="str">
        <f>IF(ISBLANK(Plan!B61),"",Plan!B61)</f>
        <v>Implementación</v>
      </c>
      <c r="D65" s="78" t="str">
        <f>IF(ISBLANK(Plan!C61),"",Plan!C61)</f>
        <v>Implementar US: Alta Vehículo</v>
      </c>
      <c r="E65" s="79" t="str">
        <f>IF(ISBLANK(Plan!B61),"",IF(Plan!R61&gt;0,Plan!R61,""))</f>
        <v/>
      </c>
    </row>
    <row r="66" spans="3:5" ht="20" customHeight="1" x14ac:dyDescent="0.2">
      <c r="C66" s="78" t="str">
        <f>IF(ISBLANK(Plan!B62),"",Plan!B62)</f>
        <v>Implementación</v>
      </c>
      <c r="D66" s="78" t="str">
        <f>IF(ISBLANK(Plan!C62),"",Plan!C62)</f>
        <v>Implementar US: Marcas</v>
      </c>
      <c r="E66" s="79" t="str">
        <f>IF(ISBLANK(Plan!B62),"",IF(Plan!R62&gt;0,Plan!R62,""))</f>
        <v/>
      </c>
    </row>
    <row r="67" spans="3:5" ht="20" customHeight="1" x14ac:dyDescent="0.2">
      <c r="C67" s="78" t="str">
        <f>IF(ISBLANK(Plan!B63),"",Plan!B63)</f>
        <v>Implementación</v>
      </c>
      <c r="D67" s="78" t="str">
        <f>IF(ISBLANK(Plan!C63),"",Plan!C63)</f>
        <v>Implementar US: Almacén</v>
      </c>
      <c r="E67" s="79" t="str">
        <f>IF(ISBLANK(Plan!B63),"",IF(Plan!R63&gt;0,Plan!R63,""))</f>
        <v/>
      </c>
    </row>
    <row r="68" spans="3:5" ht="20" customHeight="1" x14ac:dyDescent="0.2">
      <c r="C68" s="78" t="str">
        <f>IF(ISBLANK(Plan!B64),"",Plan!B64)</f>
        <v>Implementación</v>
      </c>
      <c r="D68" s="78" t="str">
        <f>IF(ISBLANK(Plan!C64),"",Plan!C64)</f>
        <v>Implementar US: Desplegables (Gamma, Marchas, Techos, Puertas)</v>
      </c>
      <c r="E68" s="79" t="str">
        <f>IF(ISBLANK(Plan!B64),"",IF(Plan!R64&gt;0,Plan!R64,""))</f>
        <v/>
      </c>
    </row>
    <row r="69" spans="3:5" ht="20" customHeight="1" x14ac:dyDescent="0.2">
      <c r="C69" s="78" t="str">
        <f>IF(ISBLANK(Plan!B65),"",Plan!B65)</f>
        <v>Implementación</v>
      </c>
      <c r="D69" s="78" t="str">
        <f>IF(ISBLANK(Plan!C65),"",Plan!C65)</f>
        <v>Implementar US: Listar coches (filtrado)</v>
      </c>
      <c r="E69" s="79" t="str">
        <f>IF(ISBLANK(Plan!B65),"",IF(Plan!R65&gt;0,Plan!R65,""))</f>
        <v/>
      </c>
    </row>
    <row r="70" spans="3:5" ht="20" customHeight="1" x14ac:dyDescent="0.2">
      <c r="C70" s="78" t="str">
        <f>IF(ISBLANK(Plan!B66),"",Plan!B66)</f>
        <v>Implementación</v>
      </c>
      <c r="D70" s="78" t="str">
        <f>IF(ISBLANK(Plan!C66),"",Plan!C66)</f>
        <v>Integrar historias de usuario del sprint</v>
      </c>
      <c r="E70" s="79" t="str">
        <f>IF(ISBLANK(Plan!B66),"",IF(Plan!R66&gt;0,Plan!R66,""))</f>
        <v/>
      </c>
    </row>
    <row r="71" spans="3:5" ht="20" customHeight="1" x14ac:dyDescent="0.2">
      <c r="C71" s="78" t="str">
        <f>IF(ISBLANK(Plan!B67),"",Plan!B67)</f>
        <v>Implementación</v>
      </c>
      <c r="D71" s="78" t="str">
        <f>IF(ISBLANK(Plan!C67),"",Plan!C67)</f>
        <v>Inspeccionar código (Q) y poner en línea base (GCS)</v>
      </c>
      <c r="E71" s="79" t="str">
        <f>IF(ISBLANK(Plan!B67),"",IF(Plan!R67&gt;0,Plan!R67,""))</f>
        <v/>
      </c>
    </row>
    <row r="72" spans="3:5" ht="20" customHeight="1" x14ac:dyDescent="0.2">
      <c r="C72" s="78" t="str">
        <f>IF(ISBLANK(Plan!B68),"",Plan!B68)</f>
        <v>Implementación</v>
      </c>
      <c r="D72" s="78" t="str">
        <f>IF(ISBLANK(Plan!C68),"",Plan!C68)</f>
        <v>Introducir datos de Planificación/Monitorización S7 (esfuerzo real / semana, US implementadas)</v>
      </c>
      <c r="E72" s="79" t="str">
        <f>IF(ISBLANK(Plan!B68),"",IF(Plan!R68&gt;0,Plan!R68,""))</f>
        <v/>
      </c>
    </row>
    <row r="73" spans="3:5" ht="20" customHeight="1" x14ac:dyDescent="0.2">
      <c r="C73" s="78" t="str">
        <f>IF(ISBLANK(Plan!B69),"",Plan!B69)</f>
        <v>Implementación</v>
      </c>
      <c r="D73" s="78" t="str">
        <f>IF(ISBLANK(Plan!C69),"",Plan!C69)</f>
        <v>Registrar datos de calidad S7: ejecucion, defectos y verificacion DoD</v>
      </c>
      <c r="E73" s="79" t="str">
        <f>IF(ISBLANK(Plan!B69),"",IF(Plan!R69&gt;0,Plan!R69,""))</f>
        <v/>
      </c>
    </row>
    <row r="74" spans="3:5" ht="20" customHeight="1" x14ac:dyDescent="0.2">
      <c r="C74" s="78" t="e">
        <f>IF(ISBLANK(Plan!#REF!),"",Plan!#REF!)</f>
        <v>#REF!</v>
      </c>
      <c r="D74" s="78" t="e">
        <f>IF(ISBLANK(Plan!#REF!),"",Plan!#REF!)</f>
        <v>#REF!</v>
      </c>
      <c r="E74" s="79" t="e">
        <f>IF(ISBLANK(Plan!#REF!),"",IF(Plan!#REF!&gt;0,Plan!#REF!,""))</f>
        <v>#REF!</v>
      </c>
    </row>
    <row r="75" spans="3:5" ht="21.25" customHeight="1" x14ac:dyDescent="0.2">
      <c r="C75" s="78" t="str">
        <f>IF(ISBLANK(Plan!B70),"",Plan!B70)</f>
        <v/>
      </c>
      <c r="D75" s="78" t="str">
        <f>IF(ISBLANK(Plan!C70),"",Plan!C70)</f>
        <v/>
      </c>
      <c r="E75" s="79" t="str">
        <f>IF(ISBLANK(Plan!B70),"",IF(Plan!R70&gt;0,Plan!R70,""))</f>
        <v/>
      </c>
    </row>
    <row r="76" spans="3:5" ht="21.25" customHeight="1" x14ac:dyDescent="0.2">
      <c r="C76" s="78" t="str">
        <f>IF(ISBLANK(Plan!B71),"",Plan!B71)</f>
        <v/>
      </c>
      <c r="D76" s="78" t="str">
        <f>IF(ISBLANK(Plan!C71),"",Plan!C71)</f>
        <v/>
      </c>
      <c r="E76" s="79" t="str">
        <f>IF(ISBLANK(Plan!B71),"",IF(Plan!R71&gt;0,Plan!R71,""))</f>
        <v/>
      </c>
    </row>
    <row r="77" spans="3:5" ht="21.25" customHeight="1" x14ac:dyDescent="0.2">
      <c r="C77" s="78" t="str">
        <f>IF(ISBLANK(Plan!B72),"",Plan!B72)</f>
        <v>Pruebas</v>
      </c>
      <c r="D77" s="78" t="str">
        <f>IF(ISBLANK(Plan!C72),"",Plan!C72)</f>
        <v>Definir casos de prueba unitarios y de aceptación por US</v>
      </c>
      <c r="E77" s="79" t="str">
        <f>IF(ISBLANK(Plan!B72),"",IF(Plan!R72&gt;0,Plan!R72,""))</f>
        <v/>
      </c>
    </row>
    <row r="78" spans="3:5" ht="21.25" customHeight="1" x14ac:dyDescent="0.2">
      <c r="C78" s="78" t="str">
        <f>IF(ISBLANK(Plan!B73),"",Plan!B73)</f>
        <v>Pruebas</v>
      </c>
      <c r="D78" s="78" t="str">
        <f>IF(ISBLANK(Plan!C73),"",Plan!C73)</f>
        <v>Ejecutar pruebas y registrar resultado esperado vs real y version</v>
      </c>
      <c r="E78" s="79" t="str">
        <f>IF(ISBLANK(Plan!B73),"",IF(Plan!R73&gt;0,Plan!R73,""))</f>
        <v/>
      </c>
    </row>
    <row r="79" spans="3:5" ht="21.25" customHeight="1" x14ac:dyDescent="0.2">
      <c r="C79" s="78" t="str">
        <f>IF(ISBLANK(Plan!B74),"",Plan!B74)</f>
        <v>Pruebas</v>
      </c>
      <c r="D79" s="78" t="str">
        <f>IF(ISBLANK(Plan!C74),"",Plan!C74)</f>
        <v>Inspeccionar registros de pruebas, enlazar evidencias y poner en linea base (Q/GCS)</v>
      </c>
      <c r="E79" s="79" t="str">
        <f>IF(ISBLANK(Plan!B74),"",IF(Plan!R74&gt;0,Plan!R74,""))</f>
        <v/>
      </c>
    </row>
    <row r="80" spans="3:5" ht="21.25" customHeight="1" x14ac:dyDescent="0.2">
      <c r="C80" s="78" t="str">
        <f>IF(ISBLANK(Plan!B75),"",Plan!B75)</f>
        <v>Pruebas</v>
      </c>
      <c r="D80" s="78" t="str">
        <f>IF(ISBLANK(Plan!C75),"",Plan!C75)</f>
        <v>Introducir datos de Planificación/Monitorización S8 (esfuerzo real / semana, US)</v>
      </c>
      <c r="E80" s="79" t="str">
        <f>IF(ISBLANK(Plan!B75),"",IF(Plan!R75&gt;0,Plan!R75,""))</f>
        <v/>
      </c>
    </row>
    <row r="81" spans="3:5" ht="21.25" customHeight="1" x14ac:dyDescent="0.2">
      <c r="C81" s="78" t="str">
        <f>IF(ISBLANK(Plan!B76),"",Plan!B76)</f>
        <v/>
      </c>
      <c r="D81" s="78" t="str">
        <f>IF(ISBLANK(Plan!C76),"",Plan!C76)</f>
        <v/>
      </c>
      <c r="E81" s="79" t="str">
        <f>IF(ISBLANK(Plan!B76),"",IF(Plan!R76&gt;0,Plan!R76,""))</f>
        <v/>
      </c>
    </row>
    <row r="82" spans="3:5" ht="21.25" customHeight="1" x14ac:dyDescent="0.2">
      <c r="C82" s="78" t="str">
        <f>IF(ISBLANK(Plan!B77),"",Plan!B77)</f>
        <v/>
      </c>
      <c r="D82" s="78" t="str">
        <f>IF(ISBLANK(Plan!C77),"",Plan!C77)</f>
        <v/>
      </c>
      <c r="E82" s="79" t="str">
        <f>IF(ISBLANK(Plan!B77),"",IF(Plan!R77&gt;0,Plan!R77,""))</f>
        <v/>
      </c>
    </row>
    <row r="83" spans="3:5" ht="21.25" customHeight="1" x14ac:dyDescent="0.2">
      <c r="C83" s="78" t="str">
        <f>IF(ISBLANK(Plan!B78),"",Plan!B78)</f>
        <v>Retrospectiva</v>
      </c>
      <c r="D83" s="78" t="str">
        <f>IF(ISBLANK(Plan!C78),"",Plan!C78)</f>
        <v>Realizar informe de retrospectiva del Sprint 1</v>
      </c>
      <c r="E83" s="79" t="str">
        <f>IF(ISBLANK(Plan!B78),"",IF(Plan!R78&gt;0,Plan!R78,""))</f>
        <v/>
      </c>
    </row>
    <row r="84" spans="3:5" ht="21.25" customHeight="1" x14ac:dyDescent="0.2">
      <c r="C84" s="78" t="str">
        <f>IF(ISBLANK(Plan!B79),"",Plan!B79)</f>
        <v>Retrospectiva</v>
      </c>
      <c r="D84" s="78" t="str">
        <f>IF(ISBLANK(Plan!C79),"",Plan!C79)</f>
        <v>Evaluar roles y equipo del Sprint 1</v>
      </c>
      <c r="E84" s="79" t="str">
        <f>IF(ISBLANK(Plan!B79),"",IF(Plan!R79&gt;0,Plan!R79,""))</f>
        <v/>
      </c>
    </row>
    <row r="85" spans="3:5" ht="21.25" customHeight="1" x14ac:dyDescent="0.2">
      <c r="C85" s="78" t="str">
        <f>IF(ISBLANK(Plan!B80),"",Plan!B80)</f>
        <v>Retrospectiva</v>
      </c>
      <c r="D85" s="78" t="str">
        <f>IF(ISBLANK(Plan!C80),"",Plan!C80)</f>
        <v>Revisar productos y procesos; dificultades, PF y PD</v>
      </c>
      <c r="E85" s="79" t="str">
        <f>IF(ISBLANK(Plan!B80),"",IF(Plan!R80&gt;0,Plan!R80,""))</f>
        <v/>
      </c>
    </row>
    <row r="86" spans="3:5" ht="21.25" customHeight="1" x14ac:dyDescent="0.2">
      <c r="C86" s="78" t="str">
        <f>IF(ISBLANK(Plan!B81),"",Plan!B81)</f>
        <v>Retrospectiva</v>
      </c>
      <c r="D86" s="78" t="str">
        <f>IF(ISBLANK(Plan!C81),"",Plan!C81)</f>
        <v>Retrospectiva STARFISH (Keep / More / Start / Stop / Less)</v>
      </c>
      <c r="E86" s="79" t="str">
        <f>IF(ISBLANK(Plan!B81),"",IF(Plan!R81&gt;0,Plan!R81,""))</f>
        <v/>
      </c>
    </row>
    <row r="87" spans="3:5" ht="21.25" customHeight="1" x14ac:dyDescent="0.2">
      <c r="C87" s="78" t="str">
        <f>IF(ISBLANK(Plan!B82),"",Plan!B82)</f>
        <v>Retrospectiva</v>
      </c>
      <c r="D87" s="78" t="str">
        <f>IF(ISBLANK(Plan!C82),"",Plan!C82)</f>
        <v>Introducir datos de Planificación/Monitorización S9</v>
      </c>
      <c r="E87" s="79" t="str">
        <f>IF(ISBLANK(Plan!B82),"",IF(Plan!R82&gt;0,Plan!R82,""))</f>
        <v/>
      </c>
    </row>
    <row r="88" spans="3:5" ht="21.25" customHeight="1" x14ac:dyDescent="0.2">
      <c r="C88" s="78" t="str">
        <f>IF(ISBLANK(Plan!B83),"",Plan!B83)</f>
        <v>Retrospectiva</v>
      </c>
      <c r="D88" s="78" t="str">
        <f>IF(ISBLANK(Plan!C83),"",Plan!C83)</f>
        <v>Lecciones aprendidas y mejoras al proceso</v>
      </c>
      <c r="E88" s="79" t="str">
        <f>IF(ISBLANK(Plan!B83),"",IF(Plan!R83&gt;0,Plan!R83,""))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I6:S35"/>
  <sheetViews>
    <sheetView workbookViewId="0"/>
  </sheetViews>
  <sheetFormatPr baseColWidth="10" defaultColWidth="11.5" defaultRowHeight="15" x14ac:dyDescent="0.2"/>
  <sheetData>
    <row r="6" spans="9:19" ht="20" customHeight="1" x14ac:dyDescent="0.2">
      <c r="I6" s="1" t="s">
        <v>111</v>
      </c>
      <c r="J6" s="1"/>
    </row>
    <row r="8" spans="9:19" ht="20" customHeight="1" x14ac:dyDescent="0.2">
      <c r="J8" s="21" t="s">
        <v>11</v>
      </c>
      <c r="K8" s="22">
        <v>1</v>
      </c>
      <c r="L8" s="22">
        <v>2</v>
      </c>
      <c r="M8" s="22">
        <v>3</v>
      </c>
      <c r="N8" s="22">
        <v>4</v>
      </c>
      <c r="O8" s="22">
        <v>5</v>
      </c>
      <c r="P8" s="22">
        <v>6</v>
      </c>
      <c r="Q8" s="22">
        <v>7</v>
      </c>
      <c r="R8" s="22">
        <v>8</v>
      </c>
      <c r="S8" s="22">
        <v>9</v>
      </c>
    </row>
    <row r="9" spans="9:19" ht="20" customHeight="1" x14ac:dyDescent="0.2">
      <c r="I9" s="69" t="s">
        <v>24</v>
      </c>
      <c r="J9" s="23">
        <f t="shared" ref="J9:J14" si="0">SUM(K9:S9)</f>
        <v>33</v>
      </c>
      <c r="K9" s="23">
        <f>SUMIFS(Plan!$D$5:$D$83,Plan!$L$5:$L$83,K$8)/60</f>
        <v>3.25</v>
      </c>
      <c r="L9" s="23">
        <f>SUMIFS(Plan!$D$5:$D$83,Plan!$L$5:$L$83,L$8)/60</f>
        <v>0.41666666666666669</v>
      </c>
      <c r="M9" s="23">
        <f>SUMIFS(Plan!$D$5:$D$83,Plan!$L$5:$L$83,M$8)/60</f>
        <v>0.83333333333333337</v>
      </c>
      <c r="N9" s="23">
        <f>SUMIFS(Plan!$D$5:$D$83,Plan!$L$5:$L$83,N$8)/60</f>
        <v>3.75</v>
      </c>
      <c r="O9" s="23">
        <f>SUMIFS(Plan!$D$5:$D$83,Plan!$L$5:$L$83,O$8)/60</f>
        <v>0.91666666666666663</v>
      </c>
      <c r="P9" s="23">
        <f>SUMIFS(Plan!$D$5:$D$83,Plan!$L$5:$L$83,P$8)/60</f>
        <v>0.75</v>
      </c>
      <c r="Q9" s="23">
        <f>SUMIFS(Plan!$D$5:$D$83,Plan!$L$5:$L$83,Q$8)/60</f>
        <v>14.083333333333334</v>
      </c>
      <c r="R9" s="23">
        <f>SUMIFS(Plan!$D$5:$D$83,Plan!$L$5:$L$83,R$8)/60</f>
        <v>4.583333333333333</v>
      </c>
      <c r="S9" s="23">
        <f>SUMIFS(Plan!$D$5:$D$83,Plan!$L$5:$L$83,S$8)/60</f>
        <v>4.416666666666667</v>
      </c>
    </row>
    <row r="10" spans="9:19" ht="20" customHeight="1" x14ac:dyDescent="0.2">
      <c r="I10" s="70" t="s">
        <v>6</v>
      </c>
      <c r="J10" s="24">
        <f t="shared" si="0"/>
        <v>32.833333333333329</v>
      </c>
      <c r="K10" s="23">
        <f>SUMIFS(Plan!$E$5:$E$83,Plan!$L$5:$L$83,K$8)/60</f>
        <v>3</v>
      </c>
      <c r="L10" s="23">
        <f>SUMIFS(Plan!$E$5:$E$83,Plan!$L$5:$L$83,L$8)/60</f>
        <v>0.41666666666666669</v>
      </c>
      <c r="M10" s="23">
        <f>SUMIFS(Plan!$E$5:$E$83,Plan!$L$5:$L$83,M$8)/60</f>
        <v>6</v>
      </c>
      <c r="N10" s="23">
        <f>SUMIFS(Plan!$E$5:$E$83,Plan!$L$5:$L$83,N$8)/60</f>
        <v>1.1666666666666667</v>
      </c>
      <c r="O10" s="23">
        <f>SUMIFS(Plan!$E$5:$E$83,Plan!$L$5:$L$83,O$8)/60</f>
        <v>1.25</v>
      </c>
      <c r="P10" s="23">
        <f>SUMIFS(Plan!$E$5:$E$83,Plan!$L$5:$L$83,P$8)/60</f>
        <v>0.91666666666666663</v>
      </c>
      <c r="Q10" s="23">
        <f>SUMIFS(Plan!$E$5:$E$83,Plan!$L$5:$L$83,Q$8)/60</f>
        <v>14.083333333333334</v>
      </c>
      <c r="R10" s="23">
        <f>SUMIFS(Plan!$E$5:$E$83,Plan!$L$5:$L$83,R$8)/60</f>
        <v>4.583333333333333</v>
      </c>
      <c r="S10" s="23">
        <f>SUMIFS(Plan!$E$5:$E$83,Plan!$L$5:$L$83,S$8)/60</f>
        <v>1.4166666666666667</v>
      </c>
    </row>
    <row r="11" spans="9:19" ht="20" customHeight="1" x14ac:dyDescent="0.2">
      <c r="I11" s="71" t="s">
        <v>31</v>
      </c>
      <c r="J11" s="24">
        <f t="shared" si="0"/>
        <v>30.25</v>
      </c>
      <c r="K11" s="23">
        <f>SUMIFS(Plan!$F$5:$F$83,Plan!$L$5:$L$83,K$8)/60</f>
        <v>2.6666666666666665</v>
      </c>
      <c r="L11" s="23">
        <f>SUMIFS(Plan!$F$5:$F$83,Plan!$L$5:$L$83,L$8)/60</f>
        <v>0.41666666666666669</v>
      </c>
      <c r="M11" s="23">
        <f>SUMIFS(Plan!$F$5:$F$83,Plan!$L$5:$L$83,M$8)/60</f>
        <v>1</v>
      </c>
      <c r="N11" s="23">
        <f>SUMIFS(Plan!$F$5:$F$83,Plan!$L$5:$L$83,N$8)/60</f>
        <v>3.9166666666666665</v>
      </c>
      <c r="O11" s="23">
        <f>SUMIFS(Plan!$F$5:$F$83,Plan!$L$5:$L$83,O$8)/60</f>
        <v>1.25</v>
      </c>
      <c r="P11" s="23">
        <f>SUMIFS(Plan!$F$5:$F$83,Plan!$L$5:$L$83,P$8)/60</f>
        <v>0.91666666666666663</v>
      </c>
      <c r="Q11" s="23">
        <f>SUMIFS(Plan!$F$5:$F$83,Plan!$L$5:$L$83,Q$8)/60</f>
        <v>14.083333333333334</v>
      </c>
      <c r="R11" s="23">
        <f>SUMIFS(Plan!$F$5:$F$83,Plan!$L$5:$L$83,R$8)/60</f>
        <v>4.583333333333333</v>
      </c>
      <c r="S11" s="23">
        <f>SUMIFS(Plan!$F$5:$F$83,Plan!$L$5:$L$83,S$8)/60</f>
        <v>1.4166666666666667</v>
      </c>
    </row>
    <row r="12" spans="9:19" ht="20" customHeight="1" x14ac:dyDescent="0.2">
      <c r="I12" s="72" t="s">
        <v>8</v>
      </c>
      <c r="J12" s="24">
        <f t="shared" si="0"/>
        <v>34.75</v>
      </c>
      <c r="K12" s="23">
        <f>SUMIFS(Plan!$G$5:$G$83,Plan!$L$5:$L$83,K$8)/60</f>
        <v>2.6666666666666665</v>
      </c>
      <c r="L12" s="23">
        <f>SUMIFS(Plan!$G$5:$G$83,Plan!$L$5:$L$83,L$8)/60</f>
        <v>0.41666666666666669</v>
      </c>
      <c r="M12" s="23">
        <f>SUMIFS(Plan!$G$5:$G$83,Plan!$L$5:$L$83,M$8)/60</f>
        <v>3</v>
      </c>
      <c r="N12" s="23">
        <f>SUMIFS(Plan!$G$5:$G$83,Plan!$L$5:$L$83,N$8)/60</f>
        <v>1.4166666666666667</v>
      </c>
      <c r="O12" s="23">
        <f>SUMIFS(Plan!$G$5:$G$83,Plan!$L$5:$L$83,O$8)/60</f>
        <v>4.25</v>
      </c>
      <c r="P12" s="23">
        <f>SUMIFS(Plan!$G$5:$G$83,Plan!$L$5:$L$83,P$8)/60</f>
        <v>2.9166666666666665</v>
      </c>
      <c r="Q12" s="23">
        <f>SUMIFS(Plan!$G$5:$G$83,Plan!$L$5:$L$83,Q$8)/60</f>
        <v>14.083333333333334</v>
      </c>
      <c r="R12" s="23">
        <f>SUMIFS(Plan!$G$5:$G$83,Plan!$L$5:$L$83,R$8)/60</f>
        <v>4.583333333333333</v>
      </c>
      <c r="S12" s="23">
        <f>SUMIFS(Plan!$G$5:$G$83,Plan!$L$5:$L$83,S$8)/60</f>
        <v>1.4166666666666667</v>
      </c>
    </row>
    <row r="13" spans="9:19" ht="20" customHeight="1" x14ac:dyDescent="0.2">
      <c r="I13" s="73" t="s">
        <v>9</v>
      </c>
      <c r="J13" s="24">
        <f t="shared" si="0"/>
        <v>2.6666666666666665</v>
      </c>
      <c r="K13" s="23">
        <f>SUMIFS(Plan!$H$5:$H$83,Plan!$L$5:$L$83,K$8)/60</f>
        <v>2.6666666666666665</v>
      </c>
      <c r="L13" s="23">
        <f>SUMIFS(Plan!$H$5:$H$83,Plan!$L$5:$L$83,L$8)/60</f>
        <v>0</v>
      </c>
      <c r="M13" s="23">
        <f>SUMIFS(Plan!$H$5:$H$83,Plan!$L$5:$L$83,M$8)/60</f>
        <v>0</v>
      </c>
      <c r="N13" s="23">
        <f>SUMIFS(Plan!$H$5:$H$83,Plan!$L$5:$L$83,N$8)/60</f>
        <v>0</v>
      </c>
      <c r="O13" s="23">
        <f>SUMIFS(Plan!$H$5:$H$83,Plan!$L$5:$L$83,O$8)/60</f>
        <v>0</v>
      </c>
      <c r="P13" s="23">
        <f>SUMIFS(Plan!$H$5:$H$83,Plan!$L$5:$L$83,P$8)/60</f>
        <v>0</v>
      </c>
      <c r="Q13" s="23">
        <f>SUMIFS(Plan!$H$5:$H$83,Plan!$L$5:$L$83,Q$8)/60</f>
        <v>0</v>
      </c>
      <c r="R13" s="23">
        <f>SUMIFS(Plan!$H$5:$H$83,Plan!$L$5:$L$83,R$8)/60</f>
        <v>0</v>
      </c>
      <c r="S13" s="23">
        <f>SUMIFS(Plan!$H$5:$H$83,Plan!$L$5:$L$83,S$8)/60</f>
        <v>0</v>
      </c>
    </row>
    <row r="14" spans="9:19" x14ac:dyDescent="0.2">
      <c r="I14" s="74" t="s">
        <v>10</v>
      </c>
      <c r="J14" s="24">
        <f t="shared" si="0"/>
        <v>2.6666666666666665</v>
      </c>
      <c r="K14" s="23">
        <f>SUMIFS(Plan!$I$5:$I$83,Plan!$L$5:$L$83,K$8)/60</f>
        <v>2.6666666666666665</v>
      </c>
      <c r="L14" s="23">
        <f>SUMIFS(Plan!$I$5:$I$83,Plan!$L$5:$L$83,L$8)/60</f>
        <v>0</v>
      </c>
      <c r="M14" s="23">
        <f>SUMIFS(Plan!$I$5:$I$83,Plan!$L$5:$L$83,M$8)/60</f>
        <v>0</v>
      </c>
      <c r="N14" s="23">
        <f>SUMIFS(Plan!$I$5:$I$83,Plan!$L$5:$L$83,N$8)/60</f>
        <v>0</v>
      </c>
      <c r="O14" s="23">
        <f>SUMIFS(Plan!$I$5:$I$83,Plan!$L$5:$L$83,O$8)/60</f>
        <v>0</v>
      </c>
      <c r="P14" s="23">
        <f>SUMIFS(Plan!$I$5:$I$83,Plan!$L$5:$L$83,P$8)/60</f>
        <v>0</v>
      </c>
      <c r="Q14" s="23">
        <f>SUMIFS(Plan!$I$5:$I$83,Plan!$L$5:$L$83,Q$8)/60</f>
        <v>0</v>
      </c>
      <c r="R14" s="23">
        <f>SUMIFS(Plan!$I$5:$I$83,Plan!$L$5:$L$83,R$8)/60</f>
        <v>0</v>
      </c>
      <c r="S14" s="23">
        <f>SUMIFS(Plan!$I$5:$I$83,Plan!$L$5:$L$83,S$8)/60</f>
        <v>0</v>
      </c>
    </row>
    <row r="15" spans="9:19" ht="20" customHeight="1" x14ac:dyDescent="0.2">
      <c r="K15" s="25"/>
    </row>
    <row r="16" spans="9:19" ht="20" customHeight="1" x14ac:dyDescent="0.2">
      <c r="I16" s="14" t="s">
        <v>102</v>
      </c>
      <c r="K16" s="26"/>
    </row>
    <row r="17" spans="9:10" ht="20" customHeight="1" x14ac:dyDescent="0.2">
      <c r="I17" t="s">
        <v>104</v>
      </c>
    </row>
    <row r="23" spans="9:10" ht="20" customHeight="1" x14ac:dyDescent="0.2">
      <c r="I23" s="1" t="s">
        <v>112</v>
      </c>
    </row>
    <row r="24" spans="9:10" ht="20" customHeight="1" x14ac:dyDescent="0.2">
      <c r="I24" s="1"/>
    </row>
    <row r="25" spans="9:10" ht="20" customHeight="1" x14ac:dyDescent="0.2">
      <c r="I25" s="27" t="s">
        <v>1</v>
      </c>
      <c r="J25" s="27" t="s">
        <v>48</v>
      </c>
    </row>
    <row r="26" spans="9:10" ht="20" customHeight="1" x14ac:dyDescent="0.2">
      <c r="I26" s="28" t="s">
        <v>17</v>
      </c>
      <c r="J26" s="29">
        <f>SUMIFS(Plan!$J$5:$J$83,Plan!$B$5:$B$83,I26)/60</f>
        <v>16.916666666666668</v>
      </c>
    </row>
    <row r="27" spans="9:10" ht="20" customHeight="1" x14ac:dyDescent="0.2">
      <c r="I27" s="30" t="s">
        <v>52</v>
      </c>
      <c r="J27" s="29">
        <f>SUMIFS(Plan!$J$5:$J$83,Plan!$B$5:$B$83,I27)/60</f>
        <v>12.5</v>
      </c>
    </row>
    <row r="28" spans="9:10" ht="20" customHeight="1" x14ac:dyDescent="0.2">
      <c r="I28" s="28" t="s">
        <v>60</v>
      </c>
      <c r="J28" s="29">
        <f>SUMIFS(Plan!$J$5:$J$83,Plan!$B$5:$B$83,I28)/60</f>
        <v>10.25</v>
      </c>
    </row>
    <row r="29" spans="9:10" ht="20" customHeight="1" x14ac:dyDescent="0.2">
      <c r="I29" s="30" t="s">
        <v>31</v>
      </c>
      <c r="J29" s="29">
        <f>SUMIFS(Plan!$J$5:$J$83,Plan!$B$5:$B$83,I29)/60</f>
        <v>7.666666666666667</v>
      </c>
    </row>
    <row r="30" spans="9:10" ht="20" customHeight="1" x14ac:dyDescent="0.2">
      <c r="I30" s="28" t="s">
        <v>74</v>
      </c>
      <c r="J30" s="29">
        <f>SUMIFS(Plan!$J$5:$J$83,Plan!$B$5:$B$83,I30)/60</f>
        <v>5.5</v>
      </c>
    </row>
    <row r="31" spans="9:10" ht="20" customHeight="1" x14ac:dyDescent="0.2">
      <c r="I31" s="30" t="s">
        <v>80</v>
      </c>
      <c r="J31" s="29">
        <f>SUMIFS(Plan!$J$5:$J$83,Plan!$B$5:$B$83,I31)/60</f>
        <v>56.333333333333336</v>
      </c>
    </row>
    <row r="32" spans="9:10" ht="20" customHeight="1" x14ac:dyDescent="0.2">
      <c r="I32" s="28" t="s">
        <v>91</v>
      </c>
      <c r="J32" s="29">
        <f>SUMIFS(Plan!$J$5:$J$83,Plan!$B$5:$B$83,I32)/60</f>
        <v>18.333333333333332</v>
      </c>
    </row>
    <row r="33" spans="9:10" ht="20" customHeight="1" x14ac:dyDescent="0.2">
      <c r="I33" s="30" t="s">
        <v>94</v>
      </c>
      <c r="J33" s="29">
        <f>SUMIFS(Plan!$J$5:$J$83,Plan!$B$5:$B$83,I33)/60</f>
        <v>8.6666666666666661</v>
      </c>
    </row>
    <row r="35" spans="9:10" ht="20" customHeight="1" x14ac:dyDescent="0.2">
      <c r="I35" t="s">
        <v>11</v>
      </c>
      <c r="J35" s="31">
        <f>SUM(J26:J33)</f>
        <v>136.16666666666666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I6:S35"/>
  <sheetViews>
    <sheetView workbookViewId="0"/>
  </sheetViews>
  <sheetFormatPr baseColWidth="10" defaultColWidth="11.5" defaultRowHeight="15" x14ac:dyDescent="0.2"/>
  <sheetData>
    <row r="6" spans="9:19" ht="20" customHeight="1" x14ac:dyDescent="0.2">
      <c r="I6" s="1" t="s">
        <v>113</v>
      </c>
      <c r="J6" s="1"/>
    </row>
    <row r="8" spans="9:19" ht="20" customHeight="1" x14ac:dyDescent="0.2">
      <c r="J8" s="21" t="s">
        <v>11</v>
      </c>
      <c r="K8" s="22">
        <v>1</v>
      </c>
      <c r="L8" s="22">
        <v>2</v>
      </c>
      <c r="M8" s="22">
        <v>3</v>
      </c>
      <c r="N8" s="22">
        <v>4</v>
      </c>
      <c r="O8" s="22">
        <v>5</v>
      </c>
      <c r="P8" s="22">
        <v>6</v>
      </c>
      <c r="Q8" s="22">
        <v>7</v>
      </c>
      <c r="R8" s="22">
        <v>8</v>
      </c>
      <c r="S8" s="22">
        <v>9</v>
      </c>
    </row>
    <row r="9" spans="9:19" ht="20" customHeight="1" x14ac:dyDescent="0.2">
      <c r="I9" s="69" t="s">
        <v>24</v>
      </c>
      <c r="J9" s="23">
        <f t="shared" ref="J9:J14" si="0">SUM(K9:S9)</f>
        <v>9.5833333333333339</v>
      </c>
      <c r="K9" s="23">
        <f>SUMIFS(Plan!$M$5:$M$83,Plan!$U$5:$U$83,K$8)/60</f>
        <v>1.5</v>
      </c>
      <c r="L9" s="23">
        <f>SUMIFS(Plan!$M$5:$M$83,Plan!$U$5:$U$83,L$8)/60</f>
        <v>2.75</v>
      </c>
      <c r="M9" s="23">
        <f>SUMIFS(Plan!$M$5:$M$83,Plan!$U$5:$U$83,M$8)/60</f>
        <v>1.4166666666666667</v>
      </c>
      <c r="N9" s="23">
        <f>SUMIFS(Plan!$M$5:$M$83,Plan!$U$5:$U$83,N$8)/60</f>
        <v>1.75</v>
      </c>
      <c r="O9" s="23">
        <f>SUMIFS(Plan!$M$5:$M$83,Plan!$U$5:$U$83,O$8)/60</f>
        <v>2.1666666666666665</v>
      </c>
      <c r="P9" s="23">
        <f>SUMIFS(Plan!$M$5:$M$83,Plan!$U$5:$U$83,P$8)/60</f>
        <v>0</v>
      </c>
      <c r="Q9" s="23">
        <f>SUMIFS(Plan!$M$5:$M$83,Plan!$U$5:$U$83,Q$8)/60</f>
        <v>0</v>
      </c>
      <c r="R9" s="23">
        <f>SUMIFS(Plan!$M$5:$M$83,Plan!$U$5:$U$83,R$8)/60</f>
        <v>0</v>
      </c>
      <c r="S9" s="23">
        <f>SUMIFS(Plan!$M$5:$M$83,Plan!$U$5:$U$83,S$8)/60</f>
        <v>0</v>
      </c>
    </row>
    <row r="10" spans="9:19" ht="20" customHeight="1" x14ac:dyDescent="0.2">
      <c r="I10" s="70" t="s">
        <v>6</v>
      </c>
      <c r="J10" s="24">
        <f t="shared" si="0"/>
        <v>10.833333333333334</v>
      </c>
      <c r="K10" s="23">
        <f>SUMIFS(Plan!$N$5:$N$83,Plan!$U$5:$U$83,K$8)/60</f>
        <v>1.5</v>
      </c>
      <c r="L10" s="23">
        <f>SUMIFS(Plan!$N$5:$N$83,Plan!$U$5:$U$83,L$8)/60</f>
        <v>0.75</v>
      </c>
      <c r="M10" s="23">
        <f>SUMIFS(Plan!$N$5:$N$83,Plan!$U$5:$U$83,M$8)/60</f>
        <v>0.75</v>
      </c>
      <c r="N10" s="23">
        <f>SUMIFS(Plan!$N$5:$N$83,Plan!$U$5:$U$83,N$8)/60</f>
        <v>2.5</v>
      </c>
      <c r="O10" s="23">
        <f>SUMIFS(Plan!$N$5:$N$83,Plan!$U$5:$U$83,O$8)/60</f>
        <v>5</v>
      </c>
      <c r="P10" s="23">
        <f>SUMIFS(Plan!$N$5:$N$83,Plan!$U$5:$U$83,P$8)/60</f>
        <v>0.33333333333333331</v>
      </c>
      <c r="Q10" s="23">
        <f>SUMIFS(Plan!$N$5:$N$83,Plan!$U$5:$U$83,Q$8)/60</f>
        <v>0</v>
      </c>
      <c r="R10" s="23">
        <f>SUMIFS(Plan!$N$5:$N$83,Plan!$U$5:$U$83,R$8)/60</f>
        <v>0</v>
      </c>
      <c r="S10" s="23">
        <f>SUMIFS(Plan!$N$5:$N$83,Plan!$U$5:$U$83,S$8)/60</f>
        <v>0</v>
      </c>
    </row>
    <row r="11" spans="9:19" ht="20" customHeight="1" x14ac:dyDescent="0.2">
      <c r="I11" s="71" t="s">
        <v>31</v>
      </c>
      <c r="J11" s="24">
        <f t="shared" si="0"/>
        <v>7.3333333333333339</v>
      </c>
      <c r="K11" s="23">
        <f>SUMIFS(Plan!$O$5:$O$83,Plan!$U$5:$U$83,K$8)/60</f>
        <v>1.4166666666666667</v>
      </c>
      <c r="L11" s="23">
        <f>SUMIFS(Plan!$O$5:$O$83,Plan!$U$5:$U$83,L$8)/60</f>
        <v>0.25</v>
      </c>
      <c r="M11" s="23">
        <f>SUMIFS(Plan!$O$5:$O$83,Plan!$U$5:$U$83,M$8)/60</f>
        <v>0.75</v>
      </c>
      <c r="N11" s="23">
        <f>SUMIFS(Plan!$O$5:$O$83,Plan!$U$5:$U$83,N$8)/60</f>
        <v>1.75</v>
      </c>
      <c r="O11" s="23">
        <f>SUMIFS(Plan!$O$5:$O$83,Plan!$U$5:$U$83,O$8)/60</f>
        <v>0.83333333333333337</v>
      </c>
      <c r="P11" s="23">
        <f>SUMIFS(Plan!$O$5:$O$83,Plan!$U$5:$U$83,P$8)/60</f>
        <v>2.3333333333333335</v>
      </c>
      <c r="Q11" s="23">
        <f>SUMIFS(Plan!$O$5:$O$83,Plan!$U$5:$U$83,Q$8)/60</f>
        <v>0</v>
      </c>
      <c r="R11" s="23">
        <f>SUMIFS(Plan!$O$5:$O$83,Plan!$U$5:$U$83,R$8)/60</f>
        <v>0</v>
      </c>
      <c r="S11" s="23">
        <f>SUMIFS(Plan!$O$5:$O$83,Plan!$U$5:$U$83,S$8)/60</f>
        <v>0</v>
      </c>
    </row>
    <row r="12" spans="9:19" ht="20" customHeight="1" x14ac:dyDescent="0.2">
      <c r="I12" s="72" t="s">
        <v>8</v>
      </c>
      <c r="J12" s="24">
        <f t="shared" si="0"/>
        <v>17.083333333333332</v>
      </c>
      <c r="K12" s="23">
        <f>SUMIFS(Plan!$P$5:$P$83,Plan!$U$5:$U$83,K$8)/60</f>
        <v>1.4166666666666667</v>
      </c>
      <c r="L12" s="23">
        <f>SUMIFS(Plan!$P$5:$P$83,Plan!$U$5:$U$83,L$8)/60</f>
        <v>0.25</v>
      </c>
      <c r="M12" s="23">
        <f>SUMIFS(Plan!$P$5:$P$83,Plan!$U$5:$U$83,M$8)/60</f>
        <v>0.75</v>
      </c>
      <c r="N12" s="23">
        <f>SUMIFS(Plan!$P$5:$P$83,Plan!$U$5:$U$83,N$8)/60</f>
        <v>4.75</v>
      </c>
      <c r="O12" s="23">
        <f>SUMIFS(Plan!$P$5:$P$83,Plan!$U$5:$U$83,O$8)/60</f>
        <v>6.583333333333333</v>
      </c>
      <c r="P12" s="23">
        <f>SUMIFS(Plan!$P$5:$P$83,Plan!$U$5:$U$83,P$8)/60</f>
        <v>3.3333333333333335</v>
      </c>
      <c r="Q12" s="23">
        <f>SUMIFS(Plan!$P$5:$P$83,Plan!$U$5:$U$83,Q$8)/60</f>
        <v>0</v>
      </c>
      <c r="R12" s="23">
        <f>SUMIFS(Plan!$P$5:$P$83,Plan!$U$5:$U$83,R$8)/60</f>
        <v>0</v>
      </c>
      <c r="S12" s="23">
        <f>SUMIFS(Plan!$P$5:$P$83,Plan!$U$5:$U$83,S$8)/60</f>
        <v>0</v>
      </c>
    </row>
    <row r="13" spans="9:19" ht="20" customHeight="1" x14ac:dyDescent="0.2">
      <c r="I13" s="73" t="s">
        <v>9</v>
      </c>
      <c r="J13" s="24">
        <f t="shared" si="0"/>
        <v>1.4166666666666667</v>
      </c>
      <c r="K13" s="23">
        <f>SUMIFS(Plan!$Q$5:$Q$83,Plan!$U$5:$U$83,K$8)/60</f>
        <v>1.25</v>
      </c>
      <c r="L13" s="23">
        <f>SUMIFS(Plan!$Q$5:$Q$83,Plan!$U$5:$U$83,L$8)/60</f>
        <v>0.16666666666666666</v>
      </c>
      <c r="M13" s="23">
        <f>SUMIFS(Plan!$Q$5:$Q$83,Plan!$U$5:$U$83,M$8)/60</f>
        <v>0</v>
      </c>
      <c r="N13" s="23">
        <f>SUMIFS(Plan!$Q$5:$Q$83,Plan!$U$5:$U$83,N$8)/60</f>
        <v>0</v>
      </c>
      <c r="O13" s="23">
        <f>SUMIFS(Plan!$Q$5:$Q$83,Plan!$U$5:$U$83,O$8)/60</f>
        <v>0</v>
      </c>
      <c r="P13" s="23">
        <f>SUMIFS(Plan!$Q$5:$Q$83,Plan!$U$5:$U$83,P$8)/60</f>
        <v>0</v>
      </c>
      <c r="Q13" s="23">
        <f>SUMIFS(Plan!$Q$5:$Q$83,Plan!$U$5:$U$83,Q$8)/60</f>
        <v>0</v>
      </c>
      <c r="R13" s="23">
        <f>SUMIFS(Plan!$Q$5:$Q$83,Plan!$U$5:$U$83,R$8)/60</f>
        <v>0</v>
      </c>
      <c r="S13" s="23">
        <f>SUMIFS(Plan!$Q$5:$Q$83,Plan!$U$5:$U$83,S$8)/60</f>
        <v>0</v>
      </c>
    </row>
    <row r="14" spans="9:19" x14ac:dyDescent="0.2">
      <c r="I14" s="74" t="s">
        <v>10</v>
      </c>
      <c r="J14" s="24">
        <f t="shared" si="0"/>
        <v>1.6666666666666667</v>
      </c>
      <c r="K14" s="23">
        <f>SUMIFS(Plan!$R$5:$R$83,Plan!$U$5:$U$83,K$8)/60</f>
        <v>1.1666666666666667</v>
      </c>
      <c r="L14" s="23">
        <f>SUMIFS(Plan!$R$5:$R$83,Plan!$U$5:$U$83,L$8)/60</f>
        <v>0.5</v>
      </c>
      <c r="M14" s="23">
        <f>SUMIFS(Plan!$R$5:$R$83,Plan!$U$5:$U$83,M$8)/60</f>
        <v>0</v>
      </c>
      <c r="N14" s="23">
        <f>SUMIFS(Plan!$R$5:$R$83,Plan!$U$5:$U$83,N$8)/60</f>
        <v>0</v>
      </c>
      <c r="O14" s="23">
        <f>SUMIFS(Plan!$R$5:$R$83,Plan!$U$5:$U$83,O$8)/60</f>
        <v>0</v>
      </c>
      <c r="P14" s="23">
        <f>SUMIFS(Plan!$R$5:$R$83,Plan!$U$5:$U$83,P$8)/60</f>
        <v>0</v>
      </c>
      <c r="Q14" s="23">
        <f>SUMIFS(Plan!$R$5:$R$83,Plan!$U$5:$U$83,Q$8)/60</f>
        <v>0</v>
      </c>
      <c r="R14" s="23">
        <f>SUMIFS(Plan!$R$5:$R$83,Plan!$U$5:$U$83,R$8)/60</f>
        <v>0</v>
      </c>
      <c r="S14" s="23">
        <f>SUMIFS(Plan!$R$5:$R$83,Plan!$U$5:$U$83,S$8)/60</f>
        <v>0</v>
      </c>
    </row>
    <row r="15" spans="9:19" ht="20" customHeight="1" x14ac:dyDescent="0.2">
      <c r="I15" s="14" t="s">
        <v>102</v>
      </c>
      <c r="K15" s="25"/>
    </row>
    <row r="16" spans="9:19" ht="20" customHeight="1" x14ac:dyDescent="0.2">
      <c r="I16" t="s">
        <v>104</v>
      </c>
      <c r="K16" s="26"/>
    </row>
    <row r="23" spans="9:10" ht="20" customHeight="1" x14ac:dyDescent="0.2">
      <c r="I23" s="1" t="s">
        <v>114</v>
      </c>
    </row>
    <row r="24" spans="9:10" ht="20" customHeight="1" x14ac:dyDescent="0.2">
      <c r="I24" s="1"/>
    </row>
    <row r="25" spans="9:10" ht="20" customHeight="1" x14ac:dyDescent="0.2">
      <c r="I25" s="27" t="s">
        <v>1</v>
      </c>
      <c r="J25" s="27" t="s">
        <v>48</v>
      </c>
    </row>
    <row r="26" spans="9:10" ht="20" customHeight="1" x14ac:dyDescent="0.2">
      <c r="I26" s="28" t="s">
        <v>17</v>
      </c>
      <c r="J26" s="29">
        <f>SUMIFS(Plan!$S$5:$S$83,Plan!$B$5:$B$83,I26)/60</f>
        <v>13.583333333333334</v>
      </c>
    </row>
    <row r="27" spans="9:10" ht="20" customHeight="1" x14ac:dyDescent="0.2">
      <c r="I27" s="30" t="s">
        <v>52</v>
      </c>
      <c r="J27" s="32">
        <f>SUMIFS(Plan!$S$5:$S$83,Plan!$B$5:$B$83,I27)/60</f>
        <v>15.583333333333334</v>
      </c>
    </row>
    <row r="28" spans="9:10" ht="20" customHeight="1" x14ac:dyDescent="0.2">
      <c r="I28" s="28" t="s">
        <v>60</v>
      </c>
      <c r="J28" s="29">
        <f>SUMIFS(Plan!$S$5:$S$83,Plan!$B$5:$B$83,I28)/60</f>
        <v>10.5</v>
      </c>
    </row>
    <row r="29" spans="9:10" ht="20" customHeight="1" x14ac:dyDescent="0.2">
      <c r="I29" s="30" t="s">
        <v>31</v>
      </c>
      <c r="J29" s="32">
        <f>SUMIFS(Plan!$S$5:$S$83,Plan!$B$5:$B$83,I29)/60</f>
        <v>7.416666666666667</v>
      </c>
    </row>
    <row r="30" spans="9:10" ht="20" customHeight="1" x14ac:dyDescent="0.2">
      <c r="I30" s="28" t="s">
        <v>74</v>
      </c>
      <c r="J30" s="33">
        <f>SUMIFS(Plan!$S$5:$S$83,Plan!$B$5:$B$83,I30)/60</f>
        <v>2.8333333333333335</v>
      </c>
    </row>
    <row r="31" spans="9:10" ht="20" customHeight="1" x14ac:dyDescent="0.2">
      <c r="I31" s="30" t="s">
        <v>80</v>
      </c>
      <c r="J31" s="32">
        <f>SUMIFS(Plan!$S$5:$S$83,Plan!$B$5:$B$83,I31)/60</f>
        <v>0</v>
      </c>
    </row>
    <row r="32" spans="9:10" ht="20" customHeight="1" x14ac:dyDescent="0.2">
      <c r="I32" s="28" t="s">
        <v>91</v>
      </c>
      <c r="J32" s="33">
        <f>SUMIFS(Plan!$S$5:$S$83,Plan!$B$5:$B$83,I32)/60</f>
        <v>0</v>
      </c>
    </row>
    <row r="33" spans="9:10" ht="20" customHeight="1" x14ac:dyDescent="0.2">
      <c r="I33" s="30" t="s">
        <v>94</v>
      </c>
      <c r="J33" s="32">
        <f>SUMIFS(Plan!$S$5:$S$83,Plan!$B$5:$B$83,I33)/60</f>
        <v>0</v>
      </c>
    </row>
    <row r="35" spans="9:10" ht="20" customHeight="1" x14ac:dyDescent="0.2">
      <c r="I35" t="s">
        <v>11</v>
      </c>
      <c r="J35" s="31">
        <f>SUM(J26:J33)</f>
        <v>49.916666666666671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6"/>
  <sheetViews>
    <sheetView showGridLines="0" workbookViewId="0">
      <pane ySplit="19" topLeftCell="A20" activePane="bottomLeft" state="frozen"/>
      <selection pane="bottomLeft" activeCell="E12" sqref="E12"/>
    </sheetView>
  </sheetViews>
  <sheetFormatPr baseColWidth="10" defaultColWidth="8.6640625" defaultRowHeight="15" x14ac:dyDescent="0.2"/>
  <cols>
    <col min="1" max="1" width="28" customWidth="1"/>
    <col min="2" max="4" width="14" customWidth="1"/>
    <col min="5" max="7" width="16" customWidth="1"/>
    <col min="8" max="9" width="12" customWidth="1"/>
    <col min="10" max="11" width="10" customWidth="1"/>
    <col min="12" max="13" width="14" customWidth="1"/>
    <col min="14" max="15" width="18" customWidth="1"/>
  </cols>
  <sheetData>
    <row r="1" spans="1:11" ht="21.75" customHeight="1" x14ac:dyDescent="0.25">
      <c r="A1" s="107" t="s">
        <v>115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</row>
    <row r="2" spans="1:11" ht="15" customHeight="1" x14ac:dyDescent="0.2">
      <c r="A2" s="106" t="s">
        <v>116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</row>
    <row r="3" spans="1:11" ht="15" customHeight="1" x14ac:dyDescent="0.2">
      <c r="A3" s="34" t="s">
        <v>117</v>
      </c>
      <c r="B3" s="35">
        <f>IF(COUNT(Plan!$U$5:$U$83)=0,1,MAX(Plan!$U$5:$U$83))</f>
        <v>6</v>
      </c>
      <c r="C3" s="102" t="s">
        <v>118</v>
      </c>
      <c r="D3" s="103"/>
      <c r="E3" s="103"/>
      <c r="F3" s="103"/>
      <c r="G3" s="103"/>
      <c r="H3" s="103"/>
      <c r="I3" s="103"/>
      <c r="J3" s="103"/>
      <c r="K3" s="103"/>
    </row>
    <row r="4" spans="1:11" ht="15" customHeight="1" x14ac:dyDescent="0.2">
      <c r="A4" s="102" t="s">
        <v>119</v>
      </c>
      <c r="B4" s="103"/>
      <c r="C4" s="103"/>
      <c r="D4" s="103"/>
      <c r="E4" s="103"/>
      <c r="F4" s="103"/>
      <c r="G4" s="103"/>
      <c r="H4" s="103"/>
      <c r="I4" s="103"/>
      <c r="J4" s="103"/>
      <c r="K4" s="103"/>
    </row>
    <row r="6" spans="1:11" ht="15" customHeight="1" x14ac:dyDescent="0.2">
      <c r="A6" s="104" t="s">
        <v>120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</row>
    <row r="7" spans="1:11" ht="21.75" customHeight="1" x14ac:dyDescent="0.2">
      <c r="A7" s="38" t="s">
        <v>121</v>
      </c>
      <c r="C7" s="38" t="s">
        <v>122</v>
      </c>
      <c r="E7" s="38" t="s">
        <v>123</v>
      </c>
      <c r="G7" s="38" t="s">
        <v>124</v>
      </c>
      <c r="I7" s="38" t="s">
        <v>125</v>
      </c>
    </row>
    <row r="8" spans="1:11" ht="18" customHeight="1" x14ac:dyDescent="0.2">
      <c r="A8" s="39">
        <f>SUM(Plan!J:J)/60</f>
        <v>136.16666666666666</v>
      </c>
      <c r="C8" s="39">
        <f>IFERROR(INDEX($E$20:$E$28,MATCH($B$3,$A$20:$A$28,0)),"")</f>
        <v>52.833333333333336</v>
      </c>
      <c r="E8" s="39">
        <f>IFERROR(INDEX($F$20:$F$28,MATCH($B$3,$A$20:$A$28,0)),"")</f>
        <v>47.5</v>
      </c>
      <c r="G8" s="39">
        <f>IFERROR(INDEX($G$20:$G$28,MATCH($B$3,$A$20:$A$28,0)),"")</f>
        <v>47.916666666666664</v>
      </c>
      <c r="I8" s="40">
        <f>IFERROR(E8/A8,"")</f>
        <v>0.34883720930232559</v>
      </c>
    </row>
    <row r="9" spans="1:11" ht="21.75" customHeight="1" x14ac:dyDescent="0.2">
      <c r="A9" s="38" t="s">
        <v>126</v>
      </c>
      <c r="C9" s="38" t="s">
        <v>127</v>
      </c>
      <c r="E9" s="38" t="s">
        <v>128</v>
      </c>
      <c r="G9" s="38" t="s">
        <v>129</v>
      </c>
      <c r="I9" s="38" t="s">
        <v>130</v>
      </c>
    </row>
    <row r="10" spans="1:11" ht="18" customHeight="1" x14ac:dyDescent="0.2">
      <c r="A10" s="39">
        <f>IFERROR(E8-C8,"")</f>
        <v>-5.3333333333333357</v>
      </c>
      <c r="C10" s="39">
        <f>IFERROR(E8-G8,"")</f>
        <v>-0.4166666666666643</v>
      </c>
      <c r="E10" s="39">
        <f>IFERROR(IF(C8=0,"",E8/C8),"")</f>
        <v>0.89905362776025233</v>
      </c>
      <c r="G10" s="39">
        <f>IFERROR(IF(G8=0,"",E8/G8),"")</f>
        <v>0.99130434782608701</v>
      </c>
      <c r="I10" s="40">
        <f>IFERROR(G8/A8,"")</f>
        <v>0.35189718482252141</v>
      </c>
    </row>
    <row r="11" spans="1:11" ht="21.75" customHeight="1" x14ac:dyDescent="0.2">
      <c r="A11" s="38" t="s">
        <v>131</v>
      </c>
      <c r="C11" s="38" t="s">
        <v>132</v>
      </c>
      <c r="E11" s="38" t="s">
        <v>133</v>
      </c>
      <c r="G11" s="38" t="s">
        <v>134</v>
      </c>
      <c r="I11" s="38" t="s">
        <v>117</v>
      </c>
    </row>
    <row r="12" spans="1:11" ht="18" customHeight="1" x14ac:dyDescent="0.2">
      <c r="A12" s="39">
        <f>IFERROR(IF(G10="", "", A8/G10),"")</f>
        <v>137.36111111111109</v>
      </c>
      <c r="C12" s="39">
        <f>IFERROR(A12-G8,"")</f>
        <v>89.444444444444429</v>
      </c>
      <c r="E12" s="39">
        <f>IFERROR(A8-A12,"")</f>
        <v>-1.1944444444444287</v>
      </c>
      <c r="G12" s="40">
        <f>IFERROR(C8/A8,"")</f>
        <v>0.38800489596083237</v>
      </c>
      <c r="I12" s="41">
        <f>$B$3</f>
        <v>6</v>
      </c>
    </row>
    <row r="14" spans="1:11" ht="15" customHeight="1" x14ac:dyDescent="0.2">
      <c r="A14" s="37" t="s">
        <v>135</v>
      </c>
    </row>
    <row r="15" spans="1:11" ht="15" customHeight="1" x14ac:dyDescent="0.2">
      <c r="A15" s="105" t="str">
        <f>IF(E10="","SPI: sin datos",IF(E10&lt;1,"SPI &lt; 1: el proyecto va retrasado respecto al plan.","SPI ≥ 1: el proyecto va en plazo o adelantado."))</f>
        <v>SPI &lt; 1: el proyecto va retrasado respecto al plan.</v>
      </c>
      <c r="B15" s="103"/>
      <c r="C15" s="103"/>
      <c r="D15" s="103"/>
      <c r="E15" s="103"/>
      <c r="F15" s="103"/>
      <c r="G15" s="103"/>
      <c r="H15" s="103"/>
      <c r="I15" s="103"/>
      <c r="J15" s="103"/>
      <c r="K15" s="103"/>
    </row>
    <row r="16" spans="1:11" ht="15" customHeight="1" x14ac:dyDescent="0.2">
      <c r="A16" s="105" t="str">
        <f>IF(G10="","CPI: sin datos",IF(G10&lt;1,"CPI &lt; 1: se está consumiendo más esfuerzo del previsto para el trabajo ganado.","CPI ≥ 1: el esfuerzo real es menor o igual que el valor ganado."))</f>
        <v>CPI &lt; 1: se está consumiendo más esfuerzo del previsto para el trabajo ganado.</v>
      </c>
      <c r="B16" s="103"/>
      <c r="C16" s="103"/>
      <c r="D16" s="103"/>
      <c r="E16" s="103"/>
      <c r="F16" s="103"/>
      <c r="G16" s="103"/>
      <c r="H16" s="103"/>
      <c r="I16" s="103"/>
      <c r="J16" s="103"/>
      <c r="K16" s="103"/>
    </row>
    <row r="18" spans="1:11" ht="31.5" customHeight="1" x14ac:dyDescent="0.2">
      <c r="A18" s="104" t="s">
        <v>136</v>
      </c>
      <c r="B18" s="103"/>
      <c r="C18" s="103"/>
      <c r="D18" s="103"/>
      <c r="E18" s="103"/>
      <c r="F18" s="103"/>
      <c r="G18" s="103"/>
      <c r="H18" s="103"/>
      <c r="I18" s="103"/>
      <c r="J18" s="103"/>
      <c r="K18" s="103"/>
    </row>
    <row r="19" spans="1:11" ht="15" customHeight="1" x14ac:dyDescent="0.2">
      <c r="A19" s="42" t="s">
        <v>137</v>
      </c>
      <c r="B19" s="42" t="s">
        <v>138</v>
      </c>
      <c r="C19" s="42" t="s">
        <v>139</v>
      </c>
      <c r="D19" s="42" t="s">
        <v>140</v>
      </c>
      <c r="E19" s="42" t="s">
        <v>141</v>
      </c>
      <c r="F19" s="42" t="s">
        <v>142</v>
      </c>
      <c r="G19" s="42" t="s">
        <v>143</v>
      </c>
      <c r="H19" s="42" t="s">
        <v>144</v>
      </c>
      <c r="I19" s="42" t="s">
        <v>145</v>
      </c>
      <c r="J19" s="42" t="s">
        <v>146</v>
      </c>
      <c r="K19" s="42" t="s">
        <v>147</v>
      </c>
    </row>
    <row r="20" spans="1:11" ht="15" customHeight="1" x14ac:dyDescent="0.2">
      <c r="A20" s="43">
        <v>1</v>
      </c>
      <c r="B20" s="44">
        <f>SUMIFS(Plan!$J$5:$J$83,Plan!$L$5:$L$83,$A20)/60</f>
        <v>16.916666666666668</v>
      </c>
      <c r="C20" s="44">
        <f>SUMIFS(Plan!$J$5:$J$83,Plan!$U$5:$U$83,$A20,Plan!$V$5:$V$83,"Completada")/60</f>
        <v>7</v>
      </c>
      <c r="D20" s="44">
        <f>SUMIFS(Plan!$S$5:$S$83,Plan!$U$5:$U$83,$A20)/60</f>
        <v>8.25</v>
      </c>
      <c r="E20" s="44">
        <f>SUMIFS(Plan!$J$5:$J$83,Plan!$L$5:$L$83,"&lt;="&amp;$A20)/60</f>
        <v>16.916666666666668</v>
      </c>
      <c r="F20" s="44">
        <f>SUMIFS(Plan!$J$5:$J$83,Plan!$U$5:$U$83,"&lt;="&amp;$A20,Plan!$V$5:$V$83,"Completada")/60</f>
        <v>7</v>
      </c>
      <c r="G20" s="44">
        <f>SUMIFS(Plan!$S$5:$S$83,Plan!$U$5:$U$83,"&lt;="&amp;$A20)/60</f>
        <v>8.25</v>
      </c>
      <c r="H20" s="44">
        <f t="shared" ref="H20:H28" si="0">$F20-$E20</f>
        <v>-9.9166666666666679</v>
      </c>
      <c r="I20" s="44">
        <f t="shared" ref="I20:I28" si="1">$F20-$G20</f>
        <v>-1.25</v>
      </c>
      <c r="J20" s="44">
        <f t="shared" ref="J20:J28" si="2">IF($E20=0,"",$F20/$E20)</f>
        <v>0.41379310344827586</v>
      </c>
      <c r="K20" s="44">
        <f t="shared" ref="K20:K28" si="3">IF($G20=0,"",$F20/$G20)</f>
        <v>0.84848484848484851</v>
      </c>
    </row>
    <row r="21" spans="1:11" ht="15" customHeight="1" x14ac:dyDescent="0.2">
      <c r="A21" s="45">
        <v>2</v>
      </c>
      <c r="B21" s="46">
        <f>SUMIFS(Plan!$J$5:$J$83,Plan!$L$5:$L$83,$A21)/60</f>
        <v>1.6666666666666667</v>
      </c>
      <c r="C21" s="46">
        <f>SUMIFS(Plan!$J$5:$J$83,Plan!$U$5:$U$83,$A21,Plan!$V$5:$V$83,"Completada")/60</f>
        <v>9.3333333333333339</v>
      </c>
      <c r="D21" s="46">
        <f>SUMIFS(Plan!$S$5:$S$83,Plan!$U$5:$U$83,$A21)/60</f>
        <v>4.666666666666667</v>
      </c>
      <c r="E21" s="46">
        <f>SUMIFS(Plan!$J$5:$J$83,Plan!$L$5:$L$83,"&lt;="&amp;$A21)/60</f>
        <v>18.583333333333332</v>
      </c>
      <c r="F21" s="46">
        <f>SUMIFS(Plan!$J$5:$J$83,Plan!$U$5:$U$83,"&lt;="&amp;$A21,Plan!$V$5:$V$83,"Completada")/60</f>
        <v>16.333333333333332</v>
      </c>
      <c r="G21" s="46">
        <f>SUMIFS(Plan!$S$5:$S$83,Plan!$U$5:$U$83,"&lt;="&amp;$A21)/60</f>
        <v>12.916666666666666</v>
      </c>
      <c r="H21" s="46">
        <f t="shared" si="0"/>
        <v>-2.25</v>
      </c>
      <c r="I21" s="46">
        <f t="shared" si="1"/>
        <v>3.4166666666666661</v>
      </c>
      <c r="J21" s="46">
        <f t="shared" si="2"/>
        <v>0.87892376681614348</v>
      </c>
      <c r="K21" s="46">
        <f t="shared" si="3"/>
        <v>1.264516129032258</v>
      </c>
    </row>
    <row r="22" spans="1:11" ht="15" customHeight="1" x14ac:dyDescent="0.2">
      <c r="A22" s="43">
        <v>3</v>
      </c>
      <c r="B22" s="44">
        <f>SUMIFS(Plan!$J$5:$J$83,Plan!$L$5:$L$83,$A22)/60</f>
        <v>10.833333333333334</v>
      </c>
      <c r="C22" s="44">
        <f>SUMIFS(Plan!$J$5:$J$83,Plan!$U$5:$U$83,$A22,Plan!$V$5:$V$83,"Completada")/60</f>
        <v>3.25</v>
      </c>
      <c r="D22" s="44">
        <f>SUMIFS(Plan!$S$5:$S$83,Plan!$U$5:$U$83,$A22)/60</f>
        <v>3.6666666666666665</v>
      </c>
      <c r="E22" s="44">
        <f>SUMIFS(Plan!$J$5:$J$83,Plan!$L$5:$L$83,"&lt;="&amp;$A22)/60</f>
        <v>29.416666666666668</v>
      </c>
      <c r="F22" s="44">
        <f>SUMIFS(Plan!$J$5:$J$83,Plan!$U$5:$U$83,"&lt;="&amp;$A22,Plan!$V$5:$V$83,"Completada")/60</f>
        <v>19.583333333333332</v>
      </c>
      <c r="G22" s="44">
        <f>SUMIFS(Plan!$S$5:$S$83,Plan!$U$5:$U$83,"&lt;="&amp;$A22)/60</f>
        <v>16.583333333333332</v>
      </c>
      <c r="H22" s="44">
        <f t="shared" si="0"/>
        <v>-9.8333333333333357</v>
      </c>
      <c r="I22" s="44">
        <f t="shared" si="1"/>
        <v>3</v>
      </c>
      <c r="J22" s="44">
        <f t="shared" si="2"/>
        <v>0.66572237960339942</v>
      </c>
      <c r="K22" s="44">
        <f t="shared" si="3"/>
        <v>1.1809045226130654</v>
      </c>
    </row>
    <row r="23" spans="1:11" ht="15" customHeight="1" x14ac:dyDescent="0.2">
      <c r="A23" s="45">
        <v>4</v>
      </c>
      <c r="B23" s="46">
        <f>SUMIFS(Plan!$J$5:$J$83,Plan!$L$5:$L$83,$A23)/60</f>
        <v>10.25</v>
      </c>
      <c r="C23" s="46">
        <f>SUMIFS(Plan!$J$5:$J$83,Plan!$U$5:$U$83,$A23,Plan!$V$5:$V$83,"Completada")/60</f>
        <v>8.6666666666666661</v>
      </c>
      <c r="D23" s="46">
        <f>SUMIFS(Plan!$S$5:$S$83,Plan!$U$5:$U$83,$A23)/60</f>
        <v>10.75</v>
      </c>
      <c r="E23" s="46">
        <f>SUMIFS(Plan!$J$5:$J$83,Plan!$L$5:$L$83,"&lt;="&amp;$A23)/60</f>
        <v>39.666666666666664</v>
      </c>
      <c r="F23" s="46">
        <f>SUMIFS(Plan!$J$5:$J$83,Plan!$U$5:$U$83,"&lt;="&amp;$A23,Plan!$V$5:$V$83,"Completada")/60</f>
        <v>28.25</v>
      </c>
      <c r="G23" s="46">
        <f>SUMIFS(Plan!$S$5:$S$83,Plan!$U$5:$U$83,"&lt;="&amp;$A23)/60</f>
        <v>27.333333333333332</v>
      </c>
      <c r="H23" s="46">
        <f t="shared" si="0"/>
        <v>-11.416666666666664</v>
      </c>
      <c r="I23" s="46">
        <f t="shared" si="1"/>
        <v>0.91666666666666785</v>
      </c>
      <c r="J23" s="46">
        <f t="shared" si="2"/>
        <v>0.71218487394957986</v>
      </c>
      <c r="K23" s="46">
        <f t="shared" si="3"/>
        <v>1.0335365853658538</v>
      </c>
    </row>
    <row r="24" spans="1:11" ht="15" customHeight="1" x14ac:dyDescent="0.2">
      <c r="A24" s="43">
        <v>5</v>
      </c>
      <c r="B24" s="44">
        <f>SUMIFS(Plan!$J$5:$J$83,Plan!$L$5:$L$83,$A24)/60</f>
        <v>7.666666666666667</v>
      </c>
      <c r="C24" s="44">
        <f>SUMIFS(Plan!$J$5:$J$83,Plan!$U$5:$U$83,$A24,Plan!$V$5:$V$83,"Completada")/60</f>
        <v>12.25</v>
      </c>
      <c r="D24" s="44">
        <f>SUMIFS(Plan!$S$5:$S$83,Plan!$U$5:$U$83,$A24)/60</f>
        <v>14.583333333333334</v>
      </c>
      <c r="E24" s="44">
        <f>SUMIFS(Plan!$J$5:$J$83,Plan!$L$5:$L$83,"&lt;="&amp;$A24)/60</f>
        <v>47.333333333333336</v>
      </c>
      <c r="F24" s="44">
        <f>SUMIFS(Plan!$J$5:$J$83,Plan!$U$5:$U$83,"&lt;="&amp;$A24,Plan!$V$5:$V$83,"Completada")/60</f>
        <v>40.5</v>
      </c>
      <c r="G24" s="44">
        <f>SUMIFS(Plan!$S$5:$S$83,Plan!$U$5:$U$83,"&lt;="&amp;$A24)/60</f>
        <v>41.916666666666664</v>
      </c>
      <c r="H24" s="44">
        <f t="shared" si="0"/>
        <v>-6.8333333333333357</v>
      </c>
      <c r="I24" s="44">
        <f t="shared" si="1"/>
        <v>-1.4166666666666643</v>
      </c>
      <c r="J24" s="44">
        <f t="shared" si="2"/>
        <v>0.85563380281690138</v>
      </c>
      <c r="K24" s="44">
        <f t="shared" si="3"/>
        <v>0.96620278330019882</v>
      </c>
    </row>
    <row r="25" spans="1:11" ht="15" customHeight="1" x14ac:dyDescent="0.2">
      <c r="A25" s="45">
        <v>6</v>
      </c>
      <c r="B25" s="46">
        <f>SUMIFS(Plan!$J$5:$J$83,Plan!$L$5:$L$83,$A25)/60</f>
        <v>5.5</v>
      </c>
      <c r="C25" s="46">
        <f>SUMIFS(Plan!$J$5:$J$83,Plan!$U$5:$U$83,$A25,Plan!$V$5:$V$83,"Completada")/60</f>
        <v>7</v>
      </c>
      <c r="D25" s="46">
        <f>SUMIFS(Plan!$S$5:$S$83,Plan!$U$5:$U$83,$A25)/60</f>
        <v>6</v>
      </c>
      <c r="E25" s="46">
        <f>SUMIFS(Plan!$J$5:$J$83,Plan!$L$5:$L$83,"&lt;="&amp;$A25)/60</f>
        <v>52.833333333333336</v>
      </c>
      <c r="F25" s="46">
        <f>SUMIFS(Plan!$J$5:$J$83,Plan!$U$5:$U$83,"&lt;="&amp;$A25,Plan!$V$5:$V$83,"Completada")/60</f>
        <v>47.5</v>
      </c>
      <c r="G25" s="46">
        <f>SUMIFS(Plan!$S$5:$S$83,Plan!$U$5:$U$83,"&lt;="&amp;$A25)/60</f>
        <v>47.916666666666664</v>
      </c>
      <c r="H25" s="46">
        <f t="shared" si="0"/>
        <v>-5.3333333333333357</v>
      </c>
      <c r="I25" s="46">
        <f t="shared" si="1"/>
        <v>-0.4166666666666643</v>
      </c>
      <c r="J25" s="46">
        <f t="shared" si="2"/>
        <v>0.89905362776025233</v>
      </c>
      <c r="K25" s="46">
        <f t="shared" si="3"/>
        <v>0.99130434782608701</v>
      </c>
    </row>
    <row r="26" spans="1:11" ht="15" customHeight="1" x14ac:dyDescent="0.2">
      <c r="A26" s="43">
        <v>7</v>
      </c>
      <c r="B26" s="44">
        <f>SUMIFS(Plan!$J$5:$J$83,Plan!$L$5:$L$83,$A26)/60</f>
        <v>56.333333333333336</v>
      </c>
      <c r="C26" s="44">
        <f>SUMIFS(Plan!$J$5:$J$83,Plan!$U$5:$U$83,$A26,Plan!$V$5:$V$83,"Completada")/60</f>
        <v>0</v>
      </c>
      <c r="D26" s="44">
        <f>SUMIFS(Plan!$S$5:$S$83,Plan!$U$5:$U$83,$A26)/60</f>
        <v>0</v>
      </c>
      <c r="E26" s="44">
        <f>SUMIFS(Plan!$J$5:$J$83,Plan!$L$5:$L$83,"&lt;="&amp;$A26)/60</f>
        <v>109.16666666666667</v>
      </c>
      <c r="F26" s="44">
        <f>SUMIFS(Plan!$J$5:$J$83,Plan!$U$5:$U$83,"&lt;="&amp;$A26,Plan!$V$5:$V$83,"Completada")/60</f>
        <v>47.5</v>
      </c>
      <c r="G26" s="44">
        <f>SUMIFS(Plan!$S$5:$S$83,Plan!$U$5:$U$83,"&lt;="&amp;$A26)/60</f>
        <v>47.916666666666664</v>
      </c>
      <c r="H26" s="44">
        <f t="shared" si="0"/>
        <v>-61.666666666666671</v>
      </c>
      <c r="I26" s="44">
        <f t="shared" si="1"/>
        <v>-0.4166666666666643</v>
      </c>
      <c r="J26" s="44">
        <f t="shared" si="2"/>
        <v>0.4351145038167939</v>
      </c>
      <c r="K26" s="44">
        <f t="shared" si="3"/>
        <v>0.99130434782608701</v>
      </c>
    </row>
    <row r="27" spans="1:11" ht="15" customHeight="1" x14ac:dyDescent="0.2">
      <c r="A27" s="45">
        <v>8</v>
      </c>
      <c r="B27" s="46">
        <f>SUMIFS(Plan!$J$5:$J$83,Plan!$L$5:$L$83,$A27)/60</f>
        <v>18.333333333333332</v>
      </c>
      <c r="C27" s="46">
        <f>SUMIFS(Plan!$J$5:$J$83,Plan!$U$5:$U$83,$A27,Plan!$V$5:$V$83,"Completada")/60</f>
        <v>0</v>
      </c>
      <c r="D27" s="46">
        <f>SUMIFS(Plan!$S$5:$S$83,Plan!$U$5:$U$83,$A27)/60</f>
        <v>0</v>
      </c>
      <c r="E27" s="46">
        <f>SUMIFS(Plan!$J$5:$J$83,Plan!$L$5:$L$83,"&lt;="&amp;$A27)/60</f>
        <v>127.5</v>
      </c>
      <c r="F27" s="46">
        <f>SUMIFS(Plan!$J$5:$J$83,Plan!$U$5:$U$83,"&lt;="&amp;$A27,Plan!$V$5:$V$83,"Completada")/60</f>
        <v>47.5</v>
      </c>
      <c r="G27" s="46">
        <f>SUMIFS(Plan!$S$5:$S$83,Plan!$U$5:$U$83,"&lt;="&amp;$A27)/60</f>
        <v>47.916666666666664</v>
      </c>
      <c r="H27" s="46">
        <f t="shared" si="0"/>
        <v>-80</v>
      </c>
      <c r="I27" s="46">
        <f t="shared" si="1"/>
        <v>-0.4166666666666643</v>
      </c>
      <c r="J27" s="46">
        <f t="shared" si="2"/>
        <v>0.37254901960784315</v>
      </c>
      <c r="K27" s="46">
        <f t="shared" si="3"/>
        <v>0.99130434782608701</v>
      </c>
    </row>
    <row r="28" spans="1:11" ht="15" customHeight="1" x14ac:dyDescent="0.2">
      <c r="A28" s="43">
        <v>9</v>
      </c>
      <c r="B28" s="44">
        <f>SUMIFS(Plan!$J$5:$J$83,Plan!$L$5:$L$83,$A28)/60</f>
        <v>8.6666666666666661</v>
      </c>
      <c r="C28" s="44">
        <f>SUMIFS(Plan!$J$5:$J$83,Plan!$U$5:$U$83,$A28,Plan!$V$5:$V$83,"Completada")/60</f>
        <v>0</v>
      </c>
      <c r="D28" s="44">
        <f>SUMIFS(Plan!$S$5:$S$83,Plan!$U$5:$U$83,$A28)/60</f>
        <v>0</v>
      </c>
      <c r="E28" s="44">
        <f>SUMIFS(Plan!$J$5:$J$83,Plan!$L$5:$L$83,"&lt;="&amp;$A28)/60</f>
        <v>136.16666666666666</v>
      </c>
      <c r="F28" s="44">
        <f>SUMIFS(Plan!$J$5:$J$83,Plan!$U$5:$U$83,"&lt;="&amp;$A28,Plan!$V$5:$V$83,"Completada")/60</f>
        <v>47.5</v>
      </c>
      <c r="G28" s="44">
        <f>SUMIFS(Plan!$S$5:$S$83,Plan!$U$5:$U$83,"&lt;="&amp;$A28)/60</f>
        <v>47.916666666666664</v>
      </c>
      <c r="H28" s="44">
        <f t="shared" si="0"/>
        <v>-88.666666666666657</v>
      </c>
      <c r="I28" s="44">
        <f t="shared" si="1"/>
        <v>-0.4166666666666643</v>
      </c>
      <c r="J28" s="44">
        <f t="shared" si="2"/>
        <v>0.34883720930232559</v>
      </c>
      <c r="K28" s="44">
        <f t="shared" si="3"/>
        <v>0.99130434782608701</v>
      </c>
    </row>
    <row r="30" spans="1:11" ht="15" customHeight="1" x14ac:dyDescent="0.2">
      <c r="A30" s="37" t="s">
        <v>148</v>
      </c>
    </row>
    <row r="31" spans="1:11" ht="15" customHeight="1" x14ac:dyDescent="0.2">
      <c r="A31" s="34" t="s">
        <v>149</v>
      </c>
      <c r="C31" s="102" t="s">
        <v>150</v>
      </c>
      <c r="D31" s="103"/>
      <c r="E31" s="103"/>
      <c r="F31" s="103"/>
      <c r="G31" s="103"/>
      <c r="H31" s="103"/>
      <c r="I31" s="103"/>
      <c r="J31" s="103"/>
      <c r="K31" s="103"/>
    </row>
    <row r="32" spans="1:11" ht="15" customHeight="1" x14ac:dyDescent="0.2">
      <c r="A32" s="34" t="s">
        <v>151</v>
      </c>
      <c r="C32" s="102" t="s">
        <v>152</v>
      </c>
      <c r="D32" s="103"/>
      <c r="E32" s="103"/>
      <c r="F32" s="103"/>
      <c r="G32" s="103"/>
      <c r="H32" s="103"/>
      <c r="I32" s="103"/>
      <c r="J32" s="103"/>
      <c r="K32" s="103"/>
    </row>
    <row r="33" spans="1:11" ht="15" customHeight="1" x14ac:dyDescent="0.2">
      <c r="A33" s="34" t="s">
        <v>153</v>
      </c>
      <c r="C33" s="102" t="s">
        <v>154</v>
      </c>
      <c r="D33" s="103"/>
      <c r="E33" s="103"/>
      <c r="F33" s="103"/>
      <c r="G33" s="103"/>
      <c r="H33" s="103"/>
      <c r="I33" s="103"/>
      <c r="J33" s="103"/>
      <c r="K33" s="103"/>
    </row>
    <row r="34" spans="1:11" ht="15" customHeight="1" x14ac:dyDescent="0.2">
      <c r="A34" s="34" t="s">
        <v>155</v>
      </c>
      <c r="C34" s="102" t="s">
        <v>156</v>
      </c>
      <c r="D34" s="103"/>
      <c r="E34" s="103"/>
      <c r="F34" s="103"/>
      <c r="G34" s="103"/>
      <c r="H34" s="103"/>
      <c r="I34" s="103"/>
      <c r="J34" s="103"/>
      <c r="K34" s="103"/>
    </row>
    <row r="35" spans="1:11" ht="15" customHeight="1" x14ac:dyDescent="0.2">
      <c r="A35" s="34" t="s">
        <v>157</v>
      </c>
      <c r="C35" s="102" t="s">
        <v>158</v>
      </c>
      <c r="D35" s="103"/>
      <c r="E35" s="103"/>
      <c r="F35" s="103"/>
      <c r="G35" s="103"/>
      <c r="H35" s="103"/>
      <c r="I35" s="103"/>
      <c r="J35" s="103"/>
      <c r="K35" s="103"/>
    </row>
    <row r="36" spans="1:11" ht="15" customHeight="1" x14ac:dyDescent="0.2">
      <c r="A36" s="34" t="s">
        <v>159</v>
      </c>
      <c r="C36" s="102" t="s">
        <v>160</v>
      </c>
      <c r="D36" s="103"/>
      <c r="E36" s="103"/>
      <c r="F36" s="103"/>
      <c r="G36" s="103"/>
      <c r="H36" s="103"/>
      <c r="I36" s="103"/>
      <c r="J36" s="103"/>
      <c r="K36" s="103"/>
    </row>
  </sheetData>
  <mergeCells count="14">
    <mergeCell ref="A2:K2"/>
    <mergeCell ref="A16:K16"/>
    <mergeCell ref="A1:K1"/>
    <mergeCell ref="C31:K31"/>
    <mergeCell ref="C3:K3"/>
    <mergeCell ref="A6:K6"/>
    <mergeCell ref="C33:K33"/>
    <mergeCell ref="A4:K4"/>
    <mergeCell ref="A18:K18"/>
    <mergeCell ref="C36:K36"/>
    <mergeCell ref="A15:K15"/>
    <mergeCell ref="C35:K35"/>
    <mergeCell ref="C34:K34"/>
    <mergeCell ref="C32:K32"/>
  </mergeCells>
  <conditionalFormatting sqref="A10">
    <cfRule type="cellIs" dxfId="20" priority="6" operator="lessThan">
      <formula>0</formula>
    </cfRule>
    <cfRule type="cellIs" dxfId="19" priority="7" operator="greaterThanOrEqual">
      <formula>0</formula>
    </cfRule>
  </conditionalFormatting>
  <conditionalFormatting sqref="C10">
    <cfRule type="cellIs" dxfId="18" priority="8" operator="lessThan">
      <formula>0</formula>
    </cfRule>
    <cfRule type="cellIs" dxfId="17" priority="9" operator="greaterThanOrEqual">
      <formula>0</formula>
    </cfRule>
  </conditionalFormatting>
  <conditionalFormatting sqref="E10">
    <cfRule type="cellIs" dxfId="16" priority="2" operator="lessThan">
      <formula>1</formula>
    </cfRule>
    <cfRule type="cellIs" dxfId="15" priority="3" operator="greaterThanOrEqual">
      <formula>1</formula>
    </cfRule>
  </conditionalFormatting>
  <conditionalFormatting sqref="G10">
    <cfRule type="cellIs" dxfId="14" priority="4" operator="lessThan">
      <formula>1</formula>
    </cfRule>
    <cfRule type="cellIs" dxfId="13" priority="5" operator="greaterThanOrEqual">
      <formula>1</formula>
    </cfRule>
  </conditionalFormatting>
  <conditionalFormatting sqref="J20:K28">
    <cfRule type="cellIs" dxfId="12" priority="10" operator="lessThan">
      <formula>1</formula>
    </cfRule>
    <cfRule type="cellIs" dxfId="11" priority="11" operator="greaterThanOrEqual">
      <formula>1</formula>
    </cfRule>
  </conditionalFormatting>
  <dataValidations count="1">
    <dataValidation type="whole" errorTitle="Semana no válida" error="Introduce una semana entre 1 y 9" sqref="B3" xr:uid="{00000000-0002-0000-0900-000000000000}">
      <formula1>1</formula1>
      <formula2>9</formula2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3"/>
  <sheetViews>
    <sheetView showGridLines="0" workbookViewId="0">
      <pane ySplit="4" topLeftCell="A5" activePane="bottomLeft" state="frozen"/>
      <selection pane="bottomLeft" activeCell="J14" sqref="J14"/>
    </sheetView>
  </sheetViews>
  <sheetFormatPr baseColWidth="10" defaultColWidth="8.6640625" defaultRowHeight="15" x14ac:dyDescent="0.2"/>
  <cols>
    <col min="1" max="1" width="10" customWidth="1"/>
    <col min="2" max="2" width="16" customWidth="1"/>
    <col min="3" max="3" width="52" customWidth="1"/>
    <col min="4" max="4" width="48" customWidth="1"/>
    <col min="5" max="5" width="12" customWidth="1"/>
    <col min="6" max="7" width="14" customWidth="1"/>
    <col min="8" max="8" width="12" customWidth="1"/>
    <col min="9" max="9" width="16" customWidth="1"/>
    <col min="10" max="10" width="22" customWidth="1"/>
  </cols>
  <sheetData>
    <row r="1" spans="1:10" ht="21.75" customHeight="1" x14ac:dyDescent="0.25">
      <c r="A1" s="107" t="s">
        <v>161</v>
      </c>
      <c r="B1" s="103"/>
      <c r="C1" s="103"/>
      <c r="D1" s="103"/>
      <c r="E1" s="103"/>
      <c r="F1" s="103"/>
      <c r="G1" s="103"/>
      <c r="H1" s="103"/>
      <c r="I1" s="103"/>
      <c r="J1" s="103"/>
    </row>
    <row r="2" spans="1:10" ht="27.75" customHeight="1" x14ac:dyDescent="0.2">
      <c r="A2" s="102" t="s">
        <v>162</v>
      </c>
      <c r="B2" s="103"/>
      <c r="C2" s="103"/>
      <c r="D2" s="103"/>
      <c r="E2" s="103"/>
      <c r="F2" s="103"/>
      <c r="G2" s="103"/>
      <c r="H2" s="103"/>
      <c r="I2" s="103"/>
      <c r="J2" s="103"/>
    </row>
    <row r="4" spans="1:10" ht="27.75" customHeight="1" x14ac:dyDescent="0.2">
      <c r="A4" s="42" t="s">
        <v>163</v>
      </c>
      <c r="B4" s="42" t="s">
        <v>164</v>
      </c>
      <c r="C4" s="42" t="s">
        <v>165</v>
      </c>
      <c r="D4" s="42" t="s">
        <v>166</v>
      </c>
      <c r="E4" s="42" t="s">
        <v>167</v>
      </c>
      <c r="F4" s="42" t="s">
        <v>168</v>
      </c>
      <c r="G4" s="42" t="s">
        <v>15</v>
      </c>
      <c r="H4" s="42" t="s">
        <v>169</v>
      </c>
      <c r="I4" s="42" t="s">
        <v>170</v>
      </c>
      <c r="J4" s="42" t="s">
        <v>171</v>
      </c>
    </row>
    <row r="5" spans="1:10" ht="48" customHeight="1" x14ac:dyDescent="0.2">
      <c r="A5" s="47" t="s">
        <v>172</v>
      </c>
      <c r="B5" s="48" t="s">
        <v>173</v>
      </c>
      <c r="C5" s="48" t="s">
        <v>174</v>
      </c>
      <c r="D5" s="48" t="s">
        <v>175</v>
      </c>
      <c r="E5" s="50" t="s">
        <v>176</v>
      </c>
      <c r="F5" s="49">
        <v>7</v>
      </c>
      <c r="G5" s="50" t="s">
        <v>177</v>
      </c>
      <c r="H5" s="49">
        <v>4</v>
      </c>
      <c r="I5" s="48" t="s">
        <v>178</v>
      </c>
      <c r="J5" s="48"/>
    </row>
    <row r="6" spans="1:10" ht="48" customHeight="1" x14ac:dyDescent="0.2">
      <c r="A6" s="47" t="s">
        <v>179</v>
      </c>
      <c r="B6" s="48" t="s">
        <v>173</v>
      </c>
      <c r="C6" s="48" t="s">
        <v>180</v>
      </c>
      <c r="D6" s="48" t="s">
        <v>181</v>
      </c>
      <c r="E6" s="50" t="s">
        <v>176</v>
      </c>
      <c r="F6" s="49">
        <v>7</v>
      </c>
      <c r="G6" s="50" t="s">
        <v>182</v>
      </c>
      <c r="H6" s="49"/>
      <c r="I6" s="48" t="s">
        <v>183</v>
      </c>
      <c r="J6" s="48"/>
    </row>
    <row r="7" spans="1:10" ht="48" customHeight="1" x14ac:dyDescent="0.2">
      <c r="A7" s="47" t="s">
        <v>184</v>
      </c>
      <c r="B7" s="48" t="s">
        <v>173</v>
      </c>
      <c r="C7" s="48" t="s">
        <v>185</v>
      </c>
      <c r="D7" s="48" t="s">
        <v>186</v>
      </c>
      <c r="E7" s="50" t="s">
        <v>176</v>
      </c>
      <c r="F7" s="49">
        <v>7</v>
      </c>
      <c r="G7" s="50" t="s">
        <v>182</v>
      </c>
      <c r="H7" s="49"/>
      <c r="I7" s="48" t="s">
        <v>183</v>
      </c>
      <c r="J7" s="48"/>
    </row>
    <row r="8" spans="1:10" ht="48" customHeight="1" x14ac:dyDescent="0.2">
      <c r="A8" s="47" t="s">
        <v>187</v>
      </c>
      <c r="B8" s="48" t="s">
        <v>188</v>
      </c>
      <c r="C8" s="48" t="s">
        <v>189</v>
      </c>
      <c r="D8" s="48" t="s">
        <v>190</v>
      </c>
      <c r="E8" s="50" t="s">
        <v>191</v>
      </c>
      <c r="F8" s="49">
        <v>8</v>
      </c>
      <c r="G8" s="50" t="s">
        <v>192</v>
      </c>
      <c r="H8" s="49"/>
      <c r="I8" s="48" t="s">
        <v>178</v>
      </c>
      <c r="J8" s="48"/>
    </row>
    <row r="9" spans="1:10" ht="48" customHeight="1" x14ac:dyDescent="0.2">
      <c r="A9" s="47" t="s">
        <v>193</v>
      </c>
      <c r="B9" s="48" t="s">
        <v>188</v>
      </c>
      <c r="C9" s="48" t="s">
        <v>194</v>
      </c>
      <c r="D9" s="48" t="s">
        <v>195</v>
      </c>
      <c r="E9" s="50" t="s">
        <v>191</v>
      </c>
      <c r="F9" s="49">
        <v>8</v>
      </c>
      <c r="G9" s="50" t="s">
        <v>192</v>
      </c>
      <c r="H9" s="49"/>
      <c r="I9" s="48" t="s">
        <v>178</v>
      </c>
      <c r="J9" s="48"/>
    </row>
    <row r="10" spans="1:10" ht="48" customHeight="1" x14ac:dyDescent="0.2">
      <c r="A10" s="47" t="s">
        <v>196</v>
      </c>
      <c r="B10" s="48" t="s">
        <v>188</v>
      </c>
      <c r="C10" s="48" t="s">
        <v>197</v>
      </c>
      <c r="D10" s="48" t="s">
        <v>195</v>
      </c>
      <c r="E10" s="50" t="s">
        <v>191</v>
      </c>
      <c r="F10" s="49">
        <v>8</v>
      </c>
      <c r="G10" s="50" t="s">
        <v>192</v>
      </c>
      <c r="H10" s="49"/>
      <c r="I10" s="48" t="s">
        <v>183</v>
      </c>
      <c r="J10" s="48"/>
    </row>
    <row r="11" spans="1:10" ht="48" customHeight="1" x14ac:dyDescent="0.2">
      <c r="A11" s="47" t="s">
        <v>198</v>
      </c>
      <c r="B11" s="48" t="s">
        <v>188</v>
      </c>
      <c r="C11" s="48" t="s">
        <v>199</v>
      </c>
      <c r="D11" s="48" t="s">
        <v>195</v>
      </c>
      <c r="E11" s="50" t="s">
        <v>191</v>
      </c>
      <c r="F11" s="49">
        <v>8</v>
      </c>
      <c r="G11" s="50" t="s">
        <v>192</v>
      </c>
      <c r="H11" s="49"/>
      <c r="I11" s="48" t="s">
        <v>183</v>
      </c>
      <c r="J11" s="48"/>
    </row>
    <row r="12" spans="1:10" ht="48" customHeight="1" x14ac:dyDescent="0.2">
      <c r="A12" s="47" t="s">
        <v>200</v>
      </c>
      <c r="B12" s="48" t="s">
        <v>201</v>
      </c>
      <c r="C12" s="48" t="s">
        <v>202</v>
      </c>
      <c r="D12" s="48" t="s">
        <v>203</v>
      </c>
      <c r="E12" s="50" t="s">
        <v>176</v>
      </c>
      <c r="F12" s="49">
        <v>8</v>
      </c>
      <c r="G12" s="50" t="s">
        <v>192</v>
      </c>
      <c r="H12" s="49"/>
      <c r="I12" s="48" t="s">
        <v>178</v>
      </c>
      <c r="J12" s="48"/>
    </row>
    <row r="13" spans="1:10" ht="48" customHeight="1" x14ac:dyDescent="0.2">
      <c r="A13" s="47" t="s">
        <v>204</v>
      </c>
      <c r="B13" s="48" t="s">
        <v>10</v>
      </c>
      <c r="C13" s="48" t="s">
        <v>205</v>
      </c>
      <c r="D13" s="48" t="s">
        <v>206</v>
      </c>
      <c r="E13" s="50" t="s">
        <v>176</v>
      </c>
      <c r="F13" s="49">
        <v>8</v>
      </c>
      <c r="G13" s="50" t="s">
        <v>192</v>
      </c>
      <c r="H13" s="49"/>
      <c r="I13" s="48" t="s">
        <v>207</v>
      </c>
      <c r="J13" s="48"/>
    </row>
    <row r="14" spans="1:10" ht="48" customHeight="1" x14ac:dyDescent="0.2">
      <c r="A14" s="47" t="s">
        <v>208</v>
      </c>
      <c r="B14" s="48" t="s">
        <v>10</v>
      </c>
      <c r="C14" s="48" t="s">
        <v>209</v>
      </c>
      <c r="D14" s="48" t="s">
        <v>210</v>
      </c>
      <c r="E14" s="50" t="s">
        <v>176</v>
      </c>
      <c r="F14" s="49">
        <v>8</v>
      </c>
      <c r="G14" s="50" t="s">
        <v>192</v>
      </c>
      <c r="H14" s="49"/>
      <c r="I14" s="48" t="s">
        <v>207</v>
      </c>
      <c r="J14" s="48"/>
    </row>
    <row r="15" spans="1:10" ht="21.75" customHeight="1" x14ac:dyDescent="0.2">
      <c r="A15" s="47" t="s">
        <v>211</v>
      </c>
      <c r="B15" s="48"/>
      <c r="C15" s="48"/>
      <c r="D15" s="48"/>
      <c r="E15" s="50"/>
      <c r="F15" s="49"/>
      <c r="G15" s="50" t="s">
        <v>192</v>
      </c>
      <c r="H15" s="49"/>
      <c r="I15" s="48"/>
      <c r="J15" s="48"/>
    </row>
    <row r="16" spans="1:10" ht="21.75" customHeight="1" x14ac:dyDescent="0.2">
      <c r="A16" s="47" t="s">
        <v>212</v>
      </c>
      <c r="B16" s="48"/>
      <c r="C16" s="48"/>
      <c r="D16" s="48"/>
      <c r="E16" s="50"/>
      <c r="F16" s="49"/>
      <c r="G16" s="50" t="s">
        <v>192</v>
      </c>
      <c r="H16" s="49"/>
      <c r="I16" s="48"/>
      <c r="J16" s="48"/>
    </row>
    <row r="17" spans="1:10" ht="21.75" customHeight="1" x14ac:dyDescent="0.2">
      <c r="A17" s="47" t="s">
        <v>213</v>
      </c>
      <c r="B17" s="48"/>
      <c r="C17" s="48"/>
      <c r="D17" s="48"/>
      <c r="E17" s="50"/>
      <c r="F17" s="49"/>
      <c r="G17" s="50" t="s">
        <v>192</v>
      </c>
      <c r="H17" s="49"/>
      <c r="I17" s="48"/>
      <c r="J17" s="48"/>
    </row>
    <row r="18" spans="1:10" ht="21.75" customHeight="1" x14ac:dyDescent="0.2">
      <c r="A18" s="47" t="s">
        <v>214</v>
      </c>
      <c r="B18" s="48"/>
      <c r="C18" s="48"/>
      <c r="D18" s="48"/>
      <c r="E18" s="50"/>
      <c r="F18" s="49"/>
      <c r="G18" s="50" t="s">
        <v>192</v>
      </c>
      <c r="H18" s="49"/>
      <c r="I18" s="48"/>
      <c r="J18" s="48"/>
    </row>
    <row r="19" spans="1:10" ht="21.75" customHeight="1" x14ac:dyDescent="0.2">
      <c r="A19" s="47" t="s">
        <v>215</v>
      </c>
      <c r="B19" s="48"/>
      <c r="C19" s="48"/>
      <c r="D19" s="48"/>
      <c r="E19" s="50"/>
      <c r="F19" s="49"/>
      <c r="G19" s="50" t="s">
        <v>192</v>
      </c>
      <c r="H19" s="49"/>
      <c r="I19" s="48"/>
      <c r="J19" s="48"/>
    </row>
    <row r="20" spans="1:10" ht="21.75" customHeight="1" x14ac:dyDescent="0.2">
      <c r="A20" s="47" t="s">
        <v>216</v>
      </c>
      <c r="B20" s="48"/>
      <c r="C20" s="48"/>
      <c r="D20" s="48"/>
      <c r="E20" s="50"/>
      <c r="F20" s="49"/>
      <c r="G20" s="50" t="s">
        <v>192</v>
      </c>
      <c r="H20" s="49"/>
      <c r="I20" s="48"/>
      <c r="J20" s="48"/>
    </row>
    <row r="21" spans="1:10" ht="21.75" customHeight="1" x14ac:dyDescent="0.2">
      <c r="A21" s="47" t="s">
        <v>217</v>
      </c>
      <c r="B21" s="48"/>
      <c r="C21" s="48"/>
      <c r="D21" s="48"/>
      <c r="E21" s="50"/>
      <c r="F21" s="49"/>
      <c r="G21" s="50" t="s">
        <v>192</v>
      </c>
      <c r="H21" s="49"/>
      <c r="I21" s="48"/>
      <c r="J21" s="48"/>
    </row>
    <row r="22" spans="1:10" ht="21.75" customHeight="1" x14ac:dyDescent="0.2">
      <c r="A22" s="47" t="s">
        <v>218</v>
      </c>
      <c r="B22" s="48"/>
      <c r="C22" s="48"/>
      <c r="D22" s="48"/>
      <c r="E22" s="50"/>
      <c r="F22" s="49"/>
      <c r="G22" s="50" t="s">
        <v>192</v>
      </c>
      <c r="H22" s="49"/>
      <c r="I22" s="48"/>
      <c r="J22" s="48"/>
    </row>
    <row r="23" spans="1:10" ht="21.75" customHeight="1" x14ac:dyDescent="0.2">
      <c r="A23" s="47" t="s">
        <v>219</v>
      </c>
      <c r="B23" s="48"/>
      <c r="C23" s="48"/>
      <c r="D23" s="48"/>
      <c r="E23" s="50"/>
      <c r="F23" s="49"/>
      <c r="G23" s="50" t="s">
        <v>192</v>
      </c>
      <c r="H23" s="49"/>
      <c r="I23" s="48"/>
      <c r="J23" s="48"/>
    </row>
    <row r="24" spans="1:10" ht="21.75" customHeight="1" x14ac:dyDescent="0.2">
      <c r="A24" s="47" t="s">
        <v>220</v>
      </c>
      <c r="B24" s="48"/>
      <c r="C24" s="48"/>
      <c r="D24" s="48"/>
      <c r="E24" s="50"/>
      <c r="F24" s="49"/>
      <c r="G24" s="50" t="s">
        <v>192</v>
      </c>
      <c r="H24" s="49"/>
      <c r="I24" s="48"/>
      <c r="J24" s="48"/>
    </row>
    <row r="25" spans="1:10" ht="15" customHeight="1" x14ac:dyDescent="0.2">
      <c r="A25" s="51" t="s">
        <v>221</v>
      </c>
      <c r="B25" s="51"/>
      <c r="C25" s="51"/>
      <c r="D25" s="51"/>
      <c r="E25" s="51"/>
      <c r="F25" s="51"/>
      <c r="G25" s="51"/>
      <c r="H25" s="51"/>
      <c r="I25" s="51"/>
      <c r="J25" s="51"/>
    </row>
    <row r="28" spans="1:10" ht="15" customHeight="1" x14ac:dyDescent="0.2">
      <c r="A28" s="104" t="s">
        <v>222</v>
      </c>
      <c r="B28" s="103"/>
      <c r="C28" s="103"/>
      <c r="D28" s="103"/>
      <c r="E28" s="103"/>
      <c r="F28" s="103"/>
      <c r="G28" s="103"/>
      <c r="H28" s="103"/>
      <c r="I28" s="103"/>
      <c r="J28" s="103"/>
    </row>
    <row r="29" spans="1:10" ht="15" customHeight="1" x14ac:dyDescent="0.2">
      <c r="A29" s="102" t="s">
        <v>223</v>
      </c>
      <c r="B29" s="103"/>
      <c r="C29" s="103"/>
      <c r="D29" s="103"/>
      <c r="E29" s="103"/>
      <c r="F29" s="103"/>
      <c r="G29" s="103"/>
      <c r="H29" s="103"/>
      <c r="I29" s="103"/>
      <c r="J29" s="103"/>
    </row>
    <row r="30" spans="1:10" ht="15" customHeight="1" x14ac:dyDescent="0.2">
      <c r="A30" s="102"/>
      <c r="B30" s="103"/>
      <c r="C30" s="103"/>
      <c r="D30" s="103"/>
      <c r="E30" s="103"/>
      <c r="F30" s="103"/>
      <c r="G30" s="103"/>
      <c r="H30" s="103"/>
      <c r="I30" s="103"/>
      <c r="J30" s="103"/>
    </row>
    <row r="31" spans="1:10" ht="15" customHeight="1" x14ac:dyDescent="0.2">
      <c r="A31" s="102" t="s">
        <v>224</v>
      </c>
      <c r="B31" s="103"/>
      <c r="C31" s="103"/>
      <c r="D31" s="103"/>
      <c r="E31" s="103"/>
      <c r="F31" s="103"/>
      <c r="G31" s="103"/>
      <c r="H31" s="103"/>
      <c r="I31" s="103"/>
      <c r="J31" s="103"/>
    </row>
    <row r="32" spans="1:10" ht="15" customHeight="1" x14ac:dyDescent="0.2">
      <c r="A32" s="102" t="s">
        <v>225</v>
      </c>
      <c r="B32" s="103"/>
      <c r="C32" s="103"/>
      <c r="D32" s="103"/>
      <c r="E32" s="103"/>
      <c r="F32" s="103"/>
      <c r="G32" s="103"/>
      <c r="H32" s="103"/>
      <c r="I32" s="103"/>
      <c r="J32" s="103"/>
    </row>
    <row r="33" spans="1:10" ht="15" customHeight="1" x14ac:dyDescent="0.2">
      <c r="A33" s="102" t="s">
        <v>226</v>
      </c>
      <c r="B33" s="103"/>
      <c r="C33" s="103"/>
      <c r="D33" s="103"/>
      <c r="E33" s="103"/>
      <c r="F33" s="103"/>
      <c r="G33" s="103"/>
      <c r="H33" s="103"/>
      <c r="I33" s="103"/>
      <c r="J33" s="103"/>
    </row>
  </sheetData>
  <mergeCells count="8">
    <mergeCell ref="A1:J1"/>
    <mergeCell ref="A32:J32"/>
    <mergeCell ref="A31:J31"/>
    <mergeCell ref="A33:J33"/>
    <mergeCell ref="A30:J30"/>
    <mergeCell ref="A29:J29"/>
    <mergeCell ref="A2:J2"/>
    <mergeCell ref="A28:J28"/>
  </mergeCells>
  <conditionalFormatting sqref="G5:G24">
    <cfRule type="expression" dxfId="10" priority="2">
      <formula>$G5="Hecha"</formula>
    </cfRule>
    <cfRule type="expression" dxfId="9" priority="3">
      <formula>$G5="En curso"</formula>
    </cfRule>
    <cfRule type="expression" dxfId="8" priority="4">
      <formula>$G5="Bloqueada"</formula>
    </cfRule>
  </conditionalFormatting>
  <dataValidations count="4">
    <dataValidation type="list" allowBlank="1" sqref="E5:E24" xr:uid="{00000000-0002-0000-0A00-000000000000}">
      <formula1>"Alta,Media,Baja"</formula1>
      <formula2>0</formula2>
    </dataValidation>
    <dataValidation type="list" allowBlank="1" sqref="G5:G24" xr:uid="{00000000-0002-0000-0A00-000001000000}">
      <formula1>"Pendiente,En curso,Hecha,Bloqueada"</formula1>
      <formula2>0</formula2>
    </dataValidation>
    <dataValidation type="whole" allowBlank="1" sqref="F5:F24 H5:H24" xr:uid="{00000000-0002-0000-0A00-000002000000}">
      <formula1>1</formula1>
      <formula2>9</formula2>
    </dataValidation>
    <dataValidation type="list" allowBlank="1" sqref="I5:I24" xr:uid="{00000000-0002-0000-0A00-000003000000}">
      <formula1>"Planificación,Cambios,Calidad,Desarrollo,Líder / Scrum Master,Product Owner,Planificación / Calidad,Cambios / Desarrollo,Todos"</formula1>
      <formula2>0</formula2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33"/>
  <sheetViews>
    <sheetView showGridLines="0" workbookViewId="0">
      <pane ySplit="17" topLeftCell="A18" activePane="bottomLeft" state="frozen"/>
      <selection pane="bottomLeft" activeCell="D22" sqref="D22"/>
    </sheetView>
  </sheetViews>
  <sheetFormatPr baseColWidth="10" defaultColWidth="8.6640625" defaultRowHeight="15" x14ac:dyDescent="0.2"/>
  <cols>
    <col min="1" max="1" width="22" customWidth="1"/>
    <col min="2" max="6" width="13" customWidth="1"/>
    <col min="7" max="8" width="16" customWidth="1"/>
    <col min="9" max="12" width="13" customWidth="1"/>
  </cols>
  <sheetData>
    <row r="1" spans="1:12" ht="19.75" customHeight="1" x14ac:dyDescent="0.25">
      <c r="A1" s="107" t="s">
        <v>425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</row>
    <row r="2" spans="1:12" ht="15" customHeight="1" x14ac:dyDescent="0.2">
      <c r="A2" s="102" t="s">
        <v>227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</row>
    <row r="4" spans="1:12" ht="15" customHeight="1" x14ac:dyDescent="0.2">
      <c r="A4" s="37" t="s">
        <v>188</v>
      </c>
    </row>
    <row r="5" spans="1:12" ht="15" customHeight="1" x14ac:dyDescent="0.2">
      <c r="A5" t="s">
        <v>228</v>
      </c>
      <c r="B5" s="35">
        <v>9</v>
      </c>
      <c r="C5" s="36" t="s">
        <v>229</v>
      </c>
    </row>
    <row r="6" spans="1:12" ht="15" customHeight="1" x14ac:dyDescent="0.2">
      <c r="A6" t="s">
        <v>230</v>
      </c>
      <c r="B6" s="52">
        <f>IF(COUNT(Historias!H5:H24)=0,1,MAX(Historias!H5:H24))</f>
        <v>4</v>
      </c>
      <c r="C6" s="36" t="s">
        <v>231</v>
      </c>
    </row>
    <row r="8" spans="1:12" ht="15" customHeight="1" x14ac:dyDescent="0.2">
      <c r="A8" s="37" t="s">
        <v>426</v>
      </c>
    </row>
    <row r="9" spans="1:12" ht="15" customHeight="1" x14ac:dyDescent="0.2">
      <c r="A9" s="53" t="s">
        <v>232</v>
      </c>
      <c r="C9" s="53" t="s">
        <v>233</v>
      </c>
      <c r="E9" s="53" t="s">
        <v>234</v>
      </c>
      <c r="G9" s="53" t="s">
        <v>235</v>
      </c>
    </row>
    <row r="10" spans="1:12" ht="18.75" customHeight="1" x14ac:dyDescent="0.2">
      <c r="A10" s="54">
        <f>SUM(Plan!J:J)/60</f>
        <v>136.16666666666666</v>
      </c>
      <c r="C10" s="54">
        <f>A10-E10</f>
        <v>88.666666666666657</v>
      </c>
      <c r="E10" s="54">
        <f>SUMIF(Plan!V:V,"Completada",Plan!J:J)/60</f>
        <v>47.5</v>
      </c>
      <c r="G10" s="40">
        <f>IF(A10=0,"",E10/A10)</f>
        <v>0.34883720930232559</v>
      </c>
    </row>
    <row r="11" spans="1:12" ht="15" customHeight="1" x14ac:dyDescent="0.2">
      <c r="A11" s="53" t="s">
        <v>236</v>
      </c>
      <c r="C11" s="53" t="s">
        <v>237</v>
      </c>
      <c r="E11" s="53" t="s">
        <v>182</v>
      </c>
      <c r="G11" s="53" t="s">
        <v>427</v>
      </c>
    </row>
    <row r="12" spans="1:12" ht="18.75" customHeight="1" x14ac:dyDescent="0.2">
      <c r="A12" s="41">
        <f>COUNTA(Historias!C5:C24)</f>
        <v>10</v>
      </c>
      <c r="C12" s="41">
        <f>COUNTIF(Historias!G5:G24,"Hecha")</f>
        <v>1</v>
      </c>
      <c r="E12" s="41">
        <f>COUNTIF(Historias!G5:G24,"En curso")</f>
        <v>2</v>
      </c>
      <c r="G12" s="54">
        <f>IF(OR(B6=0,B6=""),"",E10/B6)</f>
        <v>11.875</v>
      </c>
    </row>
    <row r="13" spans="1:12" ht="22.25" customHeight="1" x14ac:dyDescent="0.2"/>
    <row r="14" spans="1:12" ht="18.75" customHeight="1" x14ac:dyDescent="0.2">
      <c r="A14" s="37" t="s">
        <v>238</v>
      </c>
    </row>
    <row r="15" spans="1:12" x14ac:dyDescent="0.2">
      <c r="A15" s="42" t="s">
        <v>137</v>
      </c>
      <c r="B15" s="42" t="s">
        <v>239</v>
      </c>
      <c r="C15" s="42" t="s">
        <v>240</v>
      </c>
      <c r="D15" s="42" t="s">
        <v>241</v>
      </c>
    </row>
    <row r="16" spans="1:12" ht="15" customHeight="1" x14ac:dyDescent="0.2">
      <c r="A16" s="43">
        <v>0</v>
      </c>
      <c r="B16" s="55">
        <f>$A$10</f>
        <v>136.16666666666666</v>
      </c>
      <c r="C16" s="55">
        <f>$A$10</f>
        <v>136.16666666666666</v>
      </c>
      <c r="D16" s="55">
        <v>0</v>
      </c>
    </row>
    <row r="17" spans="1:7" ht="30" customHeight="1" x14ac:dyDescent="0.2">
      <c r="A17" s="45">
        <v>1</v>
      </c>
      <c r="B17" s="56">
        <f t="shared" ref="B17:B25" si="0">$A$10*(1-A17/$B$5)</f>
        <v>121.03703703703702</v>
      </c>
      <c r="C17" s="56">
        <f>$A$10-D17</f>
        <v>129.16666666666666</v>
      </c>
      <c r="D17" s="56">
        <f>SUMIFS(Plan!J:J,Plan!V:V,"Completada",Plan!U:U,"&lt;="&amp;Burndown!A17)/60</f>
        <v>7</v>
      </c>
    </row>
    <row r="18" spans="1:7" ht="15" customHeight="1" x14ac:dyDescent="0.2">
      <c r="A18" s="43">
        <v>2</v>
      </c>
      <c r="B18" s="55">
        <f t="shared" si="0"/>
        <v>105.9074074074074</v>
      </c>
      <c r="C18" s="56">
        <f t="shared" ref="C18:C25" si="1">$A$10-D18</f>
        <v>119.83333333333333</v>
      </c>
      <c r="D18" s="56">
        <f>SUMIFS(Plan!J:J,Plan!V:V,"Completada",Plan!U:U,"&lt;="&amp;Burndown!A18)/60</f>
        <v>16.333333333333332</v>
      </c>
    </row>
    <row r="19" spans="1:7" ht="15" customHeight="1" x14ac:dyDescent="0.2">
      <c r="A19" s="45">
        <v>3</v>
      </c>
      <c r="B19" s="56">
        <f t="shared" si="0"/>
        <v>90.777777777777786</v>
      </c>
      <c r="C19" s="56">
        <f t="shared" si="1"/>
        <v>116.58333333333333</v>
      </c>
      <c r="D19" s="56">
        <f>SUMIFS(Plan!J:J,Plan!V:V,"Completada",Plan!U:U,"&lt;="&amp;Burndown!A19)/60</f>
        <v>19.583333333333332</v>
      </c>
    </row>
    <row r="20" spans="1:7" ht="15" customHeight="1" x14ac:dyDescent="0.2">
      <c r="A20" s="43">
        <v>4</v>
      </c>
      <c r="B20" s="55">
        <f t="shared" si="0"/>
        <v>75.648148148148152</v>
      </c>
      <c r="C20" s="56">
        <f t="shared" si="1"/>
        <v>107.91666666666666</v>
      </c>
      <c r="D20" s="56">
        <f>SUMIFS(Plan!J:J,Plan!V:V,"Completada",Plan!U:U,"&lt;="&amp;Burndown!A20)/60</f>
        <v>28.25</v>
      </c>
    </row>
    <row r="21" spans="1:7" ht="15" customHeight="1" x14ac:dyDescent="0.2">
      <c r="A21" s="45">
        <v>5</v>
      </c>
      <c r="B21" s="56">
        <f t="shared" si="0"/>
        <v>60.518518518518512</v>
      </c>
      <c r="C21" s="56">
        <f t="shared" si="1"/>
        <v>95.666666666666657</v>
      </c>
      <c r="D21" s="56">
        <f>SUMIFS(Plan!J:J,Plan!V:V,"Completada",Plan!U:U,"&lt;="&amp;Burndown!A21)/60</f>
        <v>40.5</v>
      </c>
    </row>
    <row r="22" spans="1:7" ht="15" customHeight="1" x14ac:dyDescent="0.2">
      <c r="A22" s="43">
        <v>6</v>
      </c>
      <c r="B22" s="55">
        <f t="shared" si="0"/>
        <v>45.388888888888893</v>
      </c>
      <c r="C22" s="56">
        <f t="shared" si="1"/>
        <v>88.666666666666657</v>
      </c>
      <c r="D22" s="56">
        <f>SUMIFS(Plan!J:J,Plan!V:V,"Completada",Plan!U:U,"&lt;="&amp;Burndown!A22)/60</f>
        <v>47.5</v>
      </c>
    </row>
    <row r="23" spans="1:7" ht="15" customHeight="1" x14ac:dyDescent="0.2">
      <c r="A23" s="45">
        <v>7</v>
      </c>
      <c r="B23" s="56">
        <f t="shared" si="0"/>
        <v>30.259259259259256</v>
      </c>
      <c r="C23" s="56">
        <f t="shared" si="1"/>
        <v>88.666666666666657</v>
      </c>
      <c r="D23" s="56">
        <f>SUMIFS(Plan!J:J,Plan!V:V,"Completada",Plan!U:U,"&lt;="&amp;Burndown!A23)/60</f>
        <v>47.5</v>
      </c>
    </row>
    <row r="24" spans="1:7" ht="15" customHeight="1" x14ac:dyDescent="0.2">
      <c r="A24" s="43">
        <v>8</v>
      </c>
      <c r="B24" s="55">
        <f t="shared" si="0"/>
        <v>15.129629629629635</v>
      </c>
      <c r="C24" s="56">
        <f t="shared" si="1"/>
        <v>88.666666666666657</v>
      </c>
      <c r="D24" s="56">
        <f>SUMIFS(Plan!J:J,Plan!V:V,"Completada",Plan!U:U,"&lt;="&amp;Burndown!A24)/60</f>
        <v>47.5</v>
      </c>
    </row>
    <row r="25" spans="1:7" ht="15" customHeight="1" x14ac:dyDescent="0.2">
      <c r="A25" s="45">
        <v>9</v>
      </c>
      <c r="B25" s="56">
        <f t="shared" si="0"/>
        <v>0</v>
      </c>
      <c r="C25" s="56">
        <f t="shared" si="1"/>
        <v>88.666666666666657</v>
      </c>
      <c r="D25" s="56">
        <f>SUMIFS(Plan!J:J,Plan!V:V,"Completada",Plan!U:U,"&lt;="&amp;Burndown!A25)/60</f>
        <v>47.5</v>
      </c>
    </row>
    <row r="26" spans="1:7" ht="15" customHeight="1" x14ac:dyDescent="0.2"/>
    <row r="27" spans="1:7" ht="15" customHeight="1" x14ac:dyDescent="0.2">
      <c r="A27" s="37" t="s">
        <v>242</v>
      </c>
    </row>
    <row r="28" spans="1:7" ht="16" x14ac:dyDescent="0.2">
      <c r="A28" t="s">
        <v>243</v>
      </c>
      <c r="C28" s="101">
        <f>IF(OR(G12="",G12=0),"Sin velocidad todavía",C10/G12)</f>
        <v>7.4666666666666659</v>
      </c>
      <c r="D28" s="36" t="s">
        <v>244</v>
      </c>
    </row>
    <row r="29" spans="1:7" ht="15" customHeight="1" x14ac:dyDescent="0.2"/>
    <row r="30" spans="1:7" ht="29.75" customHeight="1" x14ac:dyDescent="0.2">
      <c r="A30" s="37" t="s">
        <v>245</v>
      </c>
    </row>
    <row r="31" spans="1:7" x14ac:dyDescent="0.2">
      <c r="A31" s="102" t="s">
        <v>246</v>
      </c>
      <c r="B31" s="103"/>
      <c r="C31" s="103"/>
      <c r="D31" s="103"/>
      <c r="E31" s="103"/>
      <c r="F31" s="103"/>
      <c r="G31" s="103"/>
    </row>
    <row r="32" spans="1:7" ht="15" customHeight="1" x14ac:dyDescent="0.2">
      <c r="A32" s="102" t="s">
        <v>247</v>
      </c>
      <c r="B32" s="103"/>
      <c r="C32" s="103"/>
      <c r="D32" s="103"/>
      <c r="E32" s="103"/>
      <c r="F32" s="103"/>
      <c r="G32" s="103"/>
    </row>
    <row r="33" ht="15" customHeight="1" x14ac:dyDescent="0.2"/>
  </sheetData>
  <mergeCells count="4">
    <mergeCell ref="A31:G31"/>
    <mergeCell ref="A2:L2"/>
    <mergeCell ref="A1:L1"/>
    <mergeCell ref="A32:G3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34"/>
  <sheetViews>
    <sheetView showGridLines="0" workbookViewId="0">
      <pane ySplit="9" topLeftCell="A10" activePane="bottomLeft" state="frozen"/>
      <selection pane="bottomLeft" activeCell="B27" sqref="B27"/>
    </sheetView>
  </sheetViews>
  <sheetFormatPr baseColWidth="10" defaultColWidth="8.83203125" defaultRowHeight="15" x14ac:dyDescent="0.2"/>
  <cols>
    <col min="1" max="1" width="44" customWidth="1"/>
    <col min="2" max="2" width="23" customWidth="1"/>
    <col min="3" max="3" width="4" customWidth="1"/>
    <col min="4" max="4" width="42" customWidth="1"/>
    <col min="5" max="5" width="28" customWidth="1"/>
    <col min="6" max="6" width="25" customWidth="1"/>
  </cols>
  <sheetData>
    <row r="1" spans="1:6" x14ac:dyDescent="0.2">
      <c r="A1" s="80"/>
      <c r="B1" s="80"/>
      <c r="C1" s="80"/>
      <c r="D1" s="80"/>
      <c r="E1" s="80"/>
      <c r="F1" s="80"/>
    </row>
    <row r="2" spans="1:6" ht="28" customHeight="1" x14ac:dyDescent="0.2">
      <c r="A2" s="81" t="s">
        <v>257</v>
      </c>
      <c r="B2" s="80"/>
      <c r="C2" s="80"/>
      <c r="D2" s="80"/>
      <c r="E2" s="80"/>
      <c r="F2" s="80"/>
    </row>
    <row r="3" spans="1:6" ht="42" x14ac:dyDescent="0.2">
      <c r="A3" s="82" t="s">
        <v>258</v>
      </c>
      <c r="B3" s="80"/>
      <c r="C3" s="80"/>
      <c r="D3" s="80"/>
      <c r="E3" s="80"/>
      <c r="F3" s="80"/>
    </row>
    <row r="4" spans="1:6" x14ac:dyDescent="0.2">
      <c r="A4" s="80"/>
      <c r="B4" s="80"/>
      <c r="C4" s="80"/>
      <c r="D4" s="80"/>
      <c r="E4" s="80"/>
      <c r="F4" s="80"/>
    </row>
    <row r="5" spans="1:6" x14ac:dyDescent="0.2">
      <c r="A5" s="80" t="s">
        <v>259</v>
      </c>
      <c r="B5" s="84" t="s">
        <v>260</v>
      </c>
      <c r="C5" s="80"/>
      <c r="D5" s="80" t="s">
        <v>261</v>
      </c>
      <c r="E5" s="83" t="s">
        <v>262</v>
      </c>
      <c r="F5" s="80"/>
    </row>
    <row r="6" spans="1:6" x14ac:dyDescent="0.2">
      <c r="A6" s="80" t="s">
        <v>263</v>
      </c>
      <c r="B6" s="84" t="s">
        <v>264</v>
      </c>
      <c r="C6" s="80"/>
      <c r="D6" s="80" t="s">
        <v>265</v>
      </c>
      <c r="E6" s="83" t="s">
        <v>249</v>
      </c>
      <c r="F6" s="80"/>
    </row>
    <row r="7" spans="1:6" x14ac:dyDescent="0.2">
      <c r="A7" s="80"/>
      <c r="B7" s="80"/>
      <c r="C7" s="80"/>
      <c r="D7" s="80" t="s">
        <v>266</v>
      </c>
      <c r="E7" s="83" t="s">
        <v>262</v>
      </c>
      <c r="F7" s="80"/>
    </row>
    <row r="8" spans="1:6" x14ac:dyDescent="0.2">
      <c r="A8" s="80"/>
      <c r="B8" s="80"/>
      <c r="C8" s="80"/>
      <c r="D8" s="80"/>
      <c r="E8" s="80"/>
      <c r="F8" s="80"/>
    </row>
    <row r="9" spans="1:6" ht="26" customHeight="1" x14ac:dyDescent="0.2">
      <c r="A9" s="85" t="s">
        <v>267</v>
      </c>
      <c r="B9" s="85" t="s">
        <v>268</v>
      </c>
      <c r="C9" s="80"/>
      <c r="D9" s="80"/>
      <c r="E9" s="80"/>
      <c r="F9" s="80"/>
    </row>
    <row r="10" spans="1:6" ht="24" customHeight="1" x14ac:dyDescent="0.2">
      <c r="A10" s="80" t="s">
        <v>236</v>
      </c>
      <c r="B10" s="86">
        <f>COUNTA(Historias!$C$5:$C$24)</f>
        <v>10</v>
      </c>
      <c r="C10" s="80"/>
      <c r="D10" s="87" t="s">
        <v>269</v>
      </c>
      <c r="E10" s="80"/>
      <c r="F10" s="80"/>
    </row>
    <row r="11" spans="1:6" ht="24" customHeight="1" x14ac:dyDescent="0.2">
      <c r="A11" s="80" t="s">
        <v>237</v>
      </c>
      <c r="B11" s="86">
        <f>COUNTIF(Historias!$G$5:$G$24,"Hecha")</f>
        <v>1</v>
      </c>
      <c r="C11" s="80"/>
      <c r="D11" s="80" t="s">
        <v>270</v>
      </c>
      <c r="E11" s="80"/>
      <c r="F11" s="80"/>
    </row>
    <row r="12" spans="1:6" ht="24" customHeight="1" x14ac:dyDescent="0.2">
      <c r="A12" s="80" t="s">
        <v>271</v>
      </c>
      <c r="B12" s="86">
        <f>COUNTIF(Historias!$G$5:$G$24,"En curso")</f>
        <v>2</v>
      </c>
      <c r="C12" s="80"/>
      <c r="D12" s="80" t="s">
        <v>272</v>
      </c>
      <c r="E12" s="80"/>
      <c r="F12" s="80"/>
    </row>
    <row r="13" spans="1:6" ht="24" customHeight="1" x14ac:dyDescent="0.2">
      <c r="A13" s="80" t="s">
        <v>430</v>
      </c>
      <c r="B13" s="86">
        <v>51</v>
      </c>
      <c r="C13" s="80"/>
      <c r="D13" s="80" t="s">
        <v>273</v>
      </c>
      <c r="E13" s="80"/>
      <c r="F13" s="80"/>
    </row>
    <row r="14" spans="1:6" ht="24" customHeight="1" x14ac:dyDescent="0.2">
      <c r="A14" s="80" t="s">
        <v>274</v>
      </c>
      <c r="B14" s="86">
        <f>COUNTIFS(Pruebas!$C$7:$C$106,$B$6,Pruebas!$A$7:$A$106,"&lt;&gt;")</f>
        <v>3</v>
      </c>
      <c r="C14" s="80"/>
      <c r="D14" s="80" t="s">
        <v>275</v>
      </c>
      <c r="E14" s="80"/>
      <c r="F14" s="80"/>
    </row>
    <row r="15" spans="1:6" ht="24" customHeight="1" x14ac:dyDescent="0.2">
      <c r="A15" s="80" t="s">
        <v>276</v>
      </c>
      <c r="B15" s="86">
        <f>COUNTIFS(Pruebas!$C$7:$C$106,$B$6,Pruebas!$N$7:$N$106,"Superada")</f>
        <v>2</v>
      </c>
      <c r="C15" s="80"/>
      <c r="D15" s="80" t="s">
        <v>277</v>
      </c>
      <c r="E15" s="80"/>
      <c r="F15" s="80"/>
    </row>
    <row r="16" spans="1:6" ht="24" customHeight="1" x14ac:dyDescent="0.2">
      <c r="A16" s="80" t="s">
        <v>278</v>
      </c>
      <c r="B16" s="86">
        <f>COUNTIFS(Pruebas!$C$7:$C$106,$B$6,Pruebas!$N$7:$N$106,"Fallida")</f>
        <v>1</v>
      </c>
      <c r="C16" s="80"/>
      <c r="D16" s="80"/>
      <c r="E16" s="80"/>
      <c r="F16" s="80"/>
    </row>
    <row r="17" spans="1:6" ht="24" customHeight="1" x14ac:dyDescent="0.2">
      <c r="A17" s="80" t="s">
        <v>279</v>
      </c>
      <c r="B17" s="86">
        <f>COUNTIFS(Defectos!$C$7:$C$106,$B$6,Defectos!$J$7:$J$106,"&lt;&gt;Cerrado",Defectos!$D$7:$D$106,"&lt;&gt;")</f>
        <v>1</v>
      </c>
      <c r="C17" s="80"/>
      <c r="D17" s="80"/>
      <c r="E17" s="80"/>
      <c r="F17" s="80"/>
    </row>
    <row r="18" spans="1:6" ht="24" customHeight="1" x14ac:dyDescent="0.2">
      <c r="A18" s="80" t="s">
        <v>280</v>
      </c>
      <c r="B18" s="86">
        <f>COUNTIF(DoD!$K$7:$K$106,"Cumple DoD")</f>
        <v>1</v>
      </c>
      <c r="C18" s="80"/>
      <c r="D18" s="80"/>
      <c r="E18" s="80"/>
      <c r="F18" s="80"/>
    </row>
    <row r="19" spans="1:6" ht="24" customHeight="1" x14ac:dyDescent="0.2">
      <c r="A19" s="80" t="s">
        <v>281</v>
      </c>
      <c r="B19" s="86">
        <f>COUNTIF(DoD!$K$7:$K$106,"Pendiente")</f>
        <v>1</v>
      </c>
      <c r="C19" s="80"/>
      <c r="D19" s="80"/>
      <c r="E19" s="80"/>
      <c r="F19" s="80"/>
    </row>
    <row r="20" spans="1:6" x14ac:dyDescent="0.2">
      <c r="A20" s="80"/>
      <c r="B20" s="80"/>
      <c r="C20" s="80"/>
      <c r="D20" s="80"/>
      <c r="E20" s="80"/>
      <c r="F20" s="80"/>
    </row>
    <row r="21" spans="1:6" x14ac:dyDescent="0.2">
      <c r="A21" s="80"/>
      <c r="B21" s="80"/>
      <c r="C21" s="80"/>
      <c r="D21" s="80"/>
      <c r="E21" s="80"/>
      <c r="F21" s="80"/>
    </row>
    <row r="22" spans="1:6" x14ac:dyDescent="0.2">
      <c r="A22" s="80"/>
      <c r="B22" s="80"/>
      <c r="C22" s="80"/>
      <c r="D22" s="80"/>
      <c r="E22" s="80"/>
      <c r="F22" s="80"/>
    </row>
    <row r="23" spans="1:6" x14ac:dyDescent="0.2">
      <c r="A23" s="87" t="s">
        <v>282</v>
      </c>
      <c r="B23" s="80"/>
      <c r="C23" s="80"/>
      <c r="D23" s="80"/>
      <c r="E23" s="80"/>
      <c r="F23" s="80"/>
    </row>
    <row r="24" spans="1:6" x14ac:dyDescent="0.2">
      <c r="A24" s="80"/>
      <c r="B24" s="80"/>
      <c r="C24" s="80"/>
      <c r="D24" s="80"/>
      <c r="E24" s="80"/>
      <c r="F24" s="80"/>
    </row>
    <row r="25" spans="1:6" ht="35" customHeight="1" x14ac:dyDescent="0.2">
      <c r="A25" s="80" t="s">
        <v>283</v>
      </c>
      <c r="B25" s="88"/>
      <c r="C25" s="80"/>
      <c r="D25" s="80"/>
      <c r="E25" s="80"/>
      <c r="F25" s="80"/>
    </row>
    <row r="26" spans="1:6" ht="35" customHeight="1" x14ac:dyDescent="0.2">
      <c r="A26" s="80" t="s">
        <v>284</v>
      </c>
      <c r="B26" s="88"/>
      <c r="C26" s="80"/>
      <c r="D26" s="80"/>
      <c r="E26" s="80"/>
      <c r="F26" s="80"/>
    </row>
    <row r="27" spans="1:6" ht="35" customHeight="1" x14ac:dyDescent="0.2">
      <c r="A27" s="80" t="s">
        <v>285</v>
      </c>
      <c r="B27" s="88"/>
      <c r="C27" s="80"/>
      <c r="D27" s="80"/>
      <c r="E27" s="80"/>
      <c r="F27" s="80"/>
    </row>
    <row r="28" spans="1:6" ht="35" customHeight="1" x14ac:dyDescent="0.2">
      <c r="A28" s="80" t="s">
        <v>286</v>
      </c>
      <c r="B28" s="88"/>
      <c r="C28" s="80"/>
      <c r="D28" s="80"/>
      <c r="E28" s="80"/>
      <c r="F28" s="80"/>
    </row>
    <row r="29" spans="1:6" ht="35" customHeight="1" x14ac:dyDescent="0.2">
      <c r="A29" s="80" t="s">
        <v>287</v>
      </c>
      <c r="B29" s="88"/>
      <c r="C29" s="80"/>
      <c r="D29" s="80"/>
      <c r="E29" s="80"/>
      <c r="F29" s="80"/>
    </row>
    <row r="30" spans="1:6" ht="35" customHeight="1" x14ac:dyDescent="0.2">
      <c r="A30" s="80" t="s">
        <v>288</v>
      </c>
      <c r="B30" s="88"/>
      <c r="C30" s="80"/>
      <c r="D30" s="80"/>
      <c r="E30" s="80"/>
      <c r="F30" s="80"/>
    </row>
    <row r="31" spans="1:6" x14ac:dyDescent="0.2">
      <c r="A31" s="80"/>
      <c r="B31" s="80"/>
      <c r="C31" s="80"/>
      <c r="D31" s="80"/>
      <c r="E31" s="80"/>
      <c r="F31" s="80"/>
    </row>
    <row r="32" spans="1:6" x14ac:dyDescent="0.2">
      <c r="A32" s="80"/>
      <c r="B32" s="80"/>
      <c r="C32" s="80"/>
      <c r="D32" s="80"/>
      <c r="E32" s="80"/>
      <c r="F32" s="80"/>
    </row>
    <row r="33" spans="1:6" x14ac:dyDescent="0.2">
      <c r="A33" s="80"/>
      <c r="B33" s="80"/>
      <c r="C33" s="80"/>
      <c r="D33" s="80"/>
      <c r="E33" s="80"/>
      <c r="F33" s="80"/>
    </row>
    <row r="34" spans="1:6" x14ac:dyDescent="0.2">
      <c r="A34" s="80"/>
      <c r="B34" s="80"/>
      <c r="C34" s="80"/>
      <c r="D34" s="80"/>
      <c r="E34" s="80"/>
      <c r="F34" s="80"/>
    </row>
  </sheetData>
  <conditionalFormatting sqref="B16:B17">
    <cfRule type="cellIs" dxfId="7" priority="1" operator="greaterThan">
      <formula>0</formula>
    </cfRule>
  </conditionalFormatting>
  <conditionalFormatting sqref="B19">
    <cfRule type="cellIs" dxfId="6" priority="2" operator="greaterThan">
      <formula>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0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C8" sqref="C8"/>
    </sheetView>
  </sheetViews>
  <sheetFormatPr baseColWidth="10" defaultColWidth="8.83203125" defaultRowHeight="15" x14ac:dyDescent="0.2"/>
  <cols>
    <col min="1" max="1" width="12" customWidth="1"/>
    <col min="2" max="2" width="14" customWidth="1"/>
    <col min="3" max="3" width="28" customWidth="1"/>
    <col min="4" max="4" width="31" customWidth="1"/>
    <col min="5" max="5" width="29" customWidth="1"/>
    <col min="6" max="6" width="27" customWidth="1"/>
    <col min="7" max="7" width="41" customWidth="1"/>
    <col min="8" max="8" width="28" customWidth="1"/>
    <col min="9" max="9" width="17" customWidth="1"/>
    <col min="10" max="10" width="15" customWidth="1"/>
    <col min="11" max="11" width="14" customWidth="1"/>
    <col min="12" max="12" width="17" customWidth="1"/>
    <col min="13" max="13" width="36" customWidth="1"/>
    <col min="14" max="14" width="20" customWidth="1"/>
    <col min="15" max="15" width="35" customWidth="1"/>
  </cols>
  <sheetData>
    <row r="1" spans="1:15" x14ac:dyDescent="0.2">
      <c r="A1" s="89"/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pans="1:15" ht="28" customHeight="1" x14ac:dyDescent="0.2">
      <c r="A2" s="81" t="s">
        <v>289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</row>
    <row r="3" spans="1:15" ht="154" x14ac:dyDescent="0.2">
      <c r="A3" s="82" t="s">
        <v>290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</row>
    <row r="4" spans="1:15" x14ac:dyDescent="0.2">
      <c r="A4" s="89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</row>
    <row r="5" spans="1:15" ht="91" x14ac:dyDescent="0.2">
      <c r="A5" s="90" t="s">
        <v>291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</row>
    <row r="6" spans="1:15" ht="40" customHeight="1" x14ac:dyDescent="0.2">
      <c r="A6" s="91" t="s">
        <v>292</v>
      </c>
      <c r="B6" s="91" t="s">
        <v>293</v>
      </c>
      <c r="C6" s="91" t="s">
        <v>294</v>
      </c>
      <c r="D6" s="91" t="s">
        <v>2</v>
      </c>
      <c r="E6" s="91" t="s">
        <v>295</v>
      </c>
      <c r="F6" s="91" t="s">
        <v>296</v>
      </c>
      <c r="G6" s="91" t="s">
        <v>297</v>
      </c>
      <c r="H6" s="91" t="s">
        <v>298</v>
      </c>
      <c r="I6" s="91" t="s">
        <v>15</v>
      </c>
      <c r="J6" s="91" t="s">
        <v>299</v>
      </c>
      <c r="K6" s="91" t="s">
        <v>300</v>
      </c>
      <c r="L6" s="91" t="s">
        <v>301</v>
      </c>
      <c r="M6" s="91" t="s">
        <v>302</v>
      </c>
      <c r="N6" s="94" t="s">
        <v>303</v>
      </c>
      <c r="O6" s="94" t="s">
        <v>304</v>
      </c>
    </row>
    <row r="7" spans="1:15" ht="34" customHeight="1" x14ac:dyDescent="0.2">
      <c r="A7" s="92" t="s">
        <v>305</v>
      </c>
      <c r="B7" s="92" t="s">
        <v>260</v>
      </c>
      <c r="C7" s="92" t="s">
        <v>306</v>
      </c>
      <c r="D7" s="92" t="s">
        <v>307</v>
      </c>
      <c r="E7" s="92" t="s">
        <v>308</v>
      </c>
      <c r="F7" s="92" t="s">
        <v>309</v>
      </c>
      <c r="G7" s="92" t="s">
        <v>310</v>
      </c>
      <c r="H7" s="92" t="s">
        <v>311</v>
      </c>
      <c r="I7" s="92" t="s">
        <v>312</v>
      </c>
      <c r="J7" s="93">
        <v>30</v>
      </c>
      <c r="K7" s="93">
        <v>20</v>
      </c>
      <c r="L7" s="93">
        <f t="shared" ref="L7:L38" si="0">IF(OR(J7="",K7=""),"",MAX(J7-K7,0))</f>
        <v>10</v>
      </c>
      <c r="M7" s="92"/>
      <c r="N7" s="95" t="s">
        <v>313</v>
      </c>
      <c r="O7" s="95" t="s">
        <v>314</v>
      </c>
    </row>
    <row r="8" spans="1:15" ht="34" customHeight="1" x14ac:dyDescent="0.2">
      <c r="A8" s="92" t="s">
        <v>315</v>
      </c>
      <c r="B8" s="92"/>
      <c r="C8" s="92"/>
      <c r="D8" s="92"/>
      <c r="E8" s="92"/>
      <c r="F8" s="92"/>
      <c r="G8" s="92"/>
      <c r="H8" s="92"/>
      <c r="I8" s="92"/>
      <c r="J8" s="93"/>
      <c r="K8" s="93"/>
      <c r="L8" s="93"/>
      <c r="M8" s="92"/>
      <c r="N8" s="95"/>
      <c r="O8" s="95"/>
    </row>
    <row r="9" spans="1:15" ht="34" customHeight="1" x14ac:dyDescent="0.2">
      <c r="A9" s="92" t="s">
        <v>316</v>
      </c>
      <c r="B9" s="92"/>
      <c r="C9" s="92"/>
      <c r="D9" s="92"/>
      <c r="E9" s="92"/>
      <c r="F9" s="92"/>
      <c r="G9" s="92"/>
      <c r="H9" s="92"/>
      <c r="I9" s="92"/>
      <c r="J9" s="93"/>
      <c r="K9" s="93"/>
      <c r="L9" s="93"/>
      <c r="M9" s="92"/>
      <c r="N9" s="95"/>
      <c r="O9" s="95"/>
    </row>
    <row r="10" spans="1:15" ht="34" customHeight="1" x14ac:dyDescent="0.2">
      <c r="A10" s="92" t="s">
        <v>318</v>
      </c>
      <c r="B10" s="92"/>
      <c r="C10" s="92"/>
      <c r="D10" s="92"/>
      <c r="E10" s="92"/>
      <c r="F10" s="92"/>
      <c r="G10" s="92"/>
      <c r="H10" s="92"/>
      <c r="I10" s="92"/>
      <c r="J10" s="93"/>
      <c r="K10" s="93"/>
      <c r="L10" s="93"/>
      <c r="M10" s="92"/>
      <c r="N10" s="95"/>
      <c r="O10" s="95"/>
    </row>
    <row r="11" spans="1:15" ht="34" customHeight="1" x14ac:dyDescent="0.2">
      <c r="A11" s="92" t="s">
        <v>319</v>
      </c>
      <c r="B11" s="92"/>
      <c r="C11" s="92"/>
      <c r="D11" s="92"/>
      <c r="E11" s="92"/>
      <c r="F11" s="92"/>
      <c r="G11" s="92"/>
      <c r="H11" s="92"/>
      <c r="I11" s="92"/>
      <c r="J11" s="93"/>
      <c r="K11" s="93"/>
      <c r="L11" s="93"/>
      <c r="M11" s="92"/>
      <c r="N11" s="95"/>
      <c r="O11" s="95"/>
    </row>
    <row r="12" spans="1:15" ht="34" customHeight="1" x14ac:dyDescent="0.2">
      <c r="A12" s="92" t="s">
        <v>320</v>
      </c>
      <c r="B12" s="92"/>
      <c r="C12" s="92"/>
      <c r="D12" s="92"/>
      <c r="E12" s="92"/>
      <c r="F12" s="92"/>
      <c r="G12" s="92"/>
      <c r="H12" s="92"/>
      <c r="I12" s="92"/>
      <c r="J12" s="93"/>
      <c r="K12" s="93"/>
      <c r="L12" s="93"/>
      <c r="M12" s="92"/>
      <c r="N12" s="95"/>
      <c r="O12" s="95"/>
    </row>
    <row r="13" spans="1:15" ht="42" customHeight="1" x14ac:dyDescent="0.2">
      <c r="A13" s="92"/>
      <c r="B13" s="92"/>
      <c r="C13" s="92"/>
      <c r="D13" s="92"/>
      <c r="E13" s="92"/>
      <c r="F13" s="92"/>
      <c r="G13" s="92"/>
      <c r="H13" s="92"/>
      <c r="I13" s="92"/>
      <c r="J13" s="93"/>
      <c r="K13" s="93"/>
      <c r="L13" s="93" t="str">
        <f t="shared" si="0"/>
        <v/>
      </c>
      <c r="M13" s="92"/>
    </row>
    <row r="14" spans="1:15" ht="42" customHeight="1" x14ac:dyDescent="0.2">
      <c r="A14" s="92"/>
      <c r="B14" s="92"/>
      <c r="C14" s="92"/>
      <c r="D14" s="92"/>
      <c r="E14" s="92"/>
      <c r="F14" s="92"/>
      <c r="G14" s="92"/>
      <c r="H14" s="92"/>
      <c r="I14" s="92"/>
      <c r="J14" s="93"/>
      <c r="K14" s="93"/>
      <c r="L14" s="93" t="str">
        <f t="shared" si="0"/>
        <v/>
      </c>
      <c r="M14" s="92"/>
    </row>
    <row r="15" spans="1:15" ht="42" customHeight="1" x14ac:dyDescent="0.2">
      <c r="A15" s="92"/>
      <c r="B15" s="92"/>
      <c r="C15" s="92"/>
      <c r="D15" s="92"/>
      <c r="E15" s="92"/>
      <c r="F15" s="92"/>
      <c r="G15" s="92"/>
      <c r="H15" s="92"/>
      <c r="I15" s="92"/>
      <c r="J15" s="93"/>
      <c r="K15" s="93"/>
      <c r="L15" s="93" t="str">
        <f t="shared" si="0"/>
        <v/>
      </c>
      <c r="M15" s="92"/>
    </row>
    <row r="16" spans="1:15" ht="42" customHeight="1" x14ac:dyDescent="0.2">
      <c r="A16" s="92"/>
      <c r="B16" s="92"/>
      <c r="C16" s="92"/>
      <c r="D16" s="92"/>
      <c r="E16" s="92"/>
      <c r="F16" s="92"/>
      <c r="G16" s="92"/>
      <c r="H16" s="92"/>
      <c r="I16" s="92"/>
      <c r="J16" s="93"/>
      <c r="K16" s="93"/>
      <c r="L16" s="93" t="str">
        <f t="shared" si="0"/>
        <v/>
      </c>
      <c r="M16" s="92"/>
    </row>
    <row r="17" spans="1:13" ht="42" customHeight="1" x14ac:dyDescent="0.2">
      <c r="A17" s="92"/>
      <c r="B17" s="92"/>
      <c r="C17" s="92"/>
      <c r="D17" s="92"/>
      <c r="E17" s="92"/>
      <c r="F17" s="92"/>
      <c r="G17" s="92"/>
      <c r="H17" s="92"/>
      <c r="I17" s="92"/>
      <c r="J17" s="93"/>
      <c r="K17" s="93"/>
      <c r="L17" s="93" t="str">
        <f t="shared" si="0"/>
        <v/>
      </c>
      <c r="M17" s="92"/>
    </row>
    <row r="18" spans="1:13" ht="42" customHeight="1" x14ac:dyDescent="0.2">
      <c r="A18" s="92"/>
      <c r="B18" s="92"/>
      <c r="C18" s="92"/>
      <c r="D18" s="92"/>
      <c r="E18" s="92"/>
      <c r="F18" s="92"/>
      <c r="G18" s="92"/>
      <c r="H18" s="92"/>
      <c r="I18" s="92"/>
      <c r="J18" s="93"/>
      <c r="K18" s="93"/>
      <c r="L18" s="93" t="str">
        <f t="shared" si="0"/>
        <v/>
      </c>
      <c r="M18" s="92"/>
    </row>
    <row r="19" spans="1:13" ht="42" customHeight="1" x14ac:dyDescent="0.2">
      <c r="A19" s="92"/>
      <c r="B19" s="92"/>
      <c r="C19" s="92"/>
      <c r="D19" s="92"/>
      <c r="E19" s="92"/>
      <c r="F19" s="92"/>
      <c r="G19" s="92"/>
      <c r="H19" s="92"/>
      <c r="I19" s="92"/>
      <c r="J19" s="93"/>
      <c r="K19" s="93"/>
      <c r="L19" s="93" t="str">
        <f t="shared" si="0"/>
        <v/>
      </c>
      <c r="M19" s="92"/>
    </row>
    <row r="20" spans="1:13" ht="42" customHeight="1" x14ac:dyDescent="0.2">
      <c r="A20" s="92"/>
      <c r="B20" s="92"/>
      <c r="C20" s="92"/>
      <c r="D20" s="92"/>
      <c r="E20" s="92"/>
      <c r="F20" s="92"/>
      <c r="G20" s="92"/>
      <c r="H20" s="92"/>
      <c r="I20" s="92"/>
      <c r="J20" s="93"/>
      <c r="K20" s="93"/>
      <c r="L20" s="93" t="str">
        <f t="shared" si="0"/>
        <v/>
      </c>
      <c r="M20" s="92"/>
    </row>
    <row r="21" spans="1:13" ht="42" customHeight="1" x14ac:dyDescent="0.2">
      <c r="A21" s="92"/>
      <c r="B21" s="92"/>
      <c r="C21" s="92"/>
      <c r="D21" s="92"/>
      <c r="E21" s="92"/>
      <c r="F21" s="92"/>
      <c r="G21" s="92"/>
      <c r="H21" s="92"/>
      <c r="I21" s="92"/>
      <c r="J21" s="93"/>
      <c r="K21" s="93"/>
      <c r="L21" s="93" t="str">
        <f t="shared" si="0"/>
        <v/>
      </c>
      <c r="M21" s="92"/>
    </row>
    <row r="22" spans="1:13" ht="42" customHeight="1" x14ac:dyDescent="0.2">
      <c r="A22" s="92"/>
      <c r="B22" s="92"/>
      <c r="C22" s="92"/>
      <c r="D22" s="92"/>
      <c r="E22" s="92"/>
      <c r="F22" s="92"/>
      <c r="G22" s="92"/>
      <c r="H22" s="92"/>
      <c r="I22" s="92"/>
      <c r="J22" s="93"/>
      <c r="K22" s="93"/>
      <c r="L22" s="93" t="str">
        <f t="shared" si="0"/>
        <v/>
      </c>
      <c r="M22" s="92"/>
    </row>
    <row r="23" spans="1:13" ht="42" customHeight="1" x14ac:dyDescent="0.2">
      <c r="A23" s="92"/>
      <c r="B23" s="92"/>
      <c r="C23" s="92"/>
      <c r="D23" s="92"/>
      <c r="E23" s="92"/>
      <c r="F23" s="92"/>
      <c r="G23" s="92"/>
      <c r="H23" s="92"/>
      <c r="I23" s="92"/>
      <c r="J23" s="93"/>
      <c r="K23" s="93"/>
      <c r="L23" s="93" t="str">
        <f t="shared" si="0"/>
        <v/>
      </c>
      <c r="M23" s="92"/>
    </row>
    <row r="24" spans="1:13" ht="42" customHeight="1" x14ac:dyDescent="0.2">
      <c r="A24" s="92"/>
      <c r="B24" s="92"/>
      <c r="C24" s="92"/>
      <c r="D24" s="92"/>
      <c r="E24" s="92"/>
      <c r="F24" s="92"/>
      <c r="G24" s="92"/>
      <c r="H24" s="92"/>
      <c r="I24" s="92"/>
      <c r="J24" s="93"/>
      <c r="K24" s="93"/>
      <c r="L24" s="93" t="str">
        <f t="shared" si="0"/>
        <v/>
      </c>
      <c r="M24" s="92"/>
    </row>
    <row r="25" spans="1:13" ht="42" customHeight="1" x14ac:dyDescent="0.2">
      <c r="A25" s="92"/>
      <c r="B25" s="92"/>
      <c r="C25" s="92"/>
      <c r="D25" s="92"/>
      <c r="E25" s="92"/>
      <c r="F25" s="92"/>
      <c r="G25" s="92"/>
      <c r="H25" s="92"/>
      <c r="I25" s="92"/>
      <c r="J25" s="93"/>
      <c r="K25" s="93"/>
      <c r="L25" s="93" t="str">
        <f t="shared" si="0"/>
        <v/>
      </c>
      <c r="M25" s="92"/>
    </row>
    <row r="26" spans="1:13" ht="42" customHeight="1" x14ac:dyDescent="0.2">
      <c r="A26" s="92"/>
      <c r="B26" s="92"/>
      <c r="C26" s="92"/>
      <c r="D26" s="92"/>
      <c r="E26" s="92"/>
      <c r="F26" s="92"/>
      <c r="G26" s="92"/>
      <c r="H26" s="92"/>
      <c r="I26" s="92"/>
      <c r="J26" s="93"/>
      <c r="K26" s="93"/>
      <c r="L26" s="93" t="str">
        <f t="shared" si="0"/>
        <v/>
      </c>
      <c r="M26" s="92"/>
    </row>
    <row r="27" spans="1:13" ht="42" customHeight="1" x14ac:dyDescent="0.2">
      <c r="A27" s="92"/>
      <c r="B27" s="92"/>
      <c r="C27" s="92"/>
      <c r="D27" s="92"/>
      <c r="E27" s="92"/>
      <c r="F27" s="92"/>
      <c r="G27" s="92"/>
      <c r="H27" s="92"/>
      <c r="I27" s="92"/>
      <c r="J27" s="93"/>
      <c r="K27" s="93"/>
      <c r="L27" s="93" t="str">
        <f t="shared" si="0"/>
        <v/>
      </c>
      <c r="M27" s="92"/>
    </row>
    <row r="28" spans="1:13" ht="42" customHeight="1" x14ac:dyDescent="0.2">
      <c r="A28" s="92"/>
      <c r="B28" s="92"/>
      <c r="C28" s="92"/>
      <c r="D28" s="92"/>
      <c r="E28" s="92"/>
      <c r="F28" s="92"/>
      <c r="G28" s="92"/>
      <c r="H28" s="92"/>
      <c r="I28" s="92"/>
      <c r="J28" s="93"/>
      <c r="K28" s="93"/>
      <c r="L28" s="93" t="str">
        <f t="shared" si="0"/>
        <v/>
      </c>
      <c r="M28" s="92"/>
    </row>
    <row r="29" spans="1:13" ht="42" customHeight="1" x14ac:dyDescent="0.2">
      <c r="A29" s="92"/>
      <c r="B29" s="92"/>
      <c r="C29" s="92"/>
      <c r="D29" s="92"/>
      <c r="E29" s="92"/>
      <c r="F29" s="92"/>
      <c r="G29" s="92"/>
      <c r="H29" s="92"/>
      <c r="I29" s="92"/>
      <c r="J29" s="93"/>
      <c r="K29" s="93"/>
      <c r="L29" s="93" t="str">
        <f t="shared" si="0"/>
        <v/>
      </c>
      <c r="M29" s="92"/>
    </row>
    <row r="30" spans="1:13" ht="42" customHeight="1" x14ac:dyDescent="0.2">
      <c r="A30" s="92"/>
      <c r="B30" s="92"/>
      <c r="C30" s="92"/>
      <c r="D30" s="92"/>
      <c r="E30" s="92"/>
      <c r="F30" s="92"/>
      <c r="G30" s="92"/>
      <c r="H30" s="92"/>
      <c r="I30" s="92"/>
      <c r="J30" s="93"/>
      <c r="K30" s="93"/>
      <c r="L30" s="93" t="str">
        <f t="shared" si="0"/>
        <v/>
      </c>
      <c r="M30" s="92"/>
    </row>
    <row r="31" spans="1:13" ht="42" customHeight="1" x14ac:dyDescent="0.2">
      <c r="A31" s="92"/>
      <c r="B31" s="92"/>
      <c r="C31" s="92"/>
      <c r="D31" s="92"/>
      <c r="E31" s="92"/>
      <c r="F31" s="92"/>
      <c r="G31" s="92"/>
      <c r="H31" s="92"/>
      <c r="I31" s="92"/>
      <c r="J31" s="93"/>
      <c r="K31" s="93"/>
      <c r="L31" s="93" t="str">
        <f t="shared" si="0"/>
        <v/>
      </c>
      <c r="M31" s="92"/>
    </row>
    <row r="32" spans="1:13" ht="42" customHeight="1" x14ac:dyDescent="0.2">
      <c r="A32" s="92"/>
      <c r="B32" s="92"/>
      <c r="C32" s="92"/>
      <c r="D32" s="92"/>
      <c r="E32" s="92"/>
      <c r="F32" s="92"/>
      <c r="G32" s="92"/>
      <c r="H32" s="92"/>
      <c r="I32" s="92"/>
      <c r="J32" s="93"/>
      <c r="K32" s="93"/>
      <c r="L32" s="93" t="str">
        <f t="shared" si="0"/>
        <v/>
      </c>
      <c r="M32" s="92"/>
    </row>
    <row r="33" spans="1:13" ht="42" customHeight="1" x14ac:dyDescent="0.2">
      <c r="A33" s="92"/>
      <c r="B33" s="92"/>
      <c r="C33" s="92"/>
      <c r="D33" s="92"/>
      <c r="E33" s="92"/>
      <c r="F33" s="92"/>
      <c r="G33" s="92"/>
      <c r="H33" s="92"/>
      <c r="I33" s="92"/>
      <c r="J33" s="93"/>
      <c r="K33" s="93"/>
      <c r="L33" s="93" t="str">
        <f t="shared" si="0"/>
        <v/>
      </c>
      <c r="M33" s="92"/>
    </row>
    <row r="34" spans="1:13" ht="42" customHeight="1" x14ac:dyDescent="0.2">
      <c r="A34" s="92"/>
      <c r="B34" s="92"/>
      <c r="C34" s="92"/>
      <c r="D34" s="92"/>
      <c r="E34" s="92"/>
      <c r="F34" s="92"/>
      <c r="G34" s="92"/>
      <c r="H34" s="92"/>
      <c r="I34" s="92"/>
      <c r="J34" s="93"/>
      <c r="K34" s="93"/>
      <c r="L34" s="93" t="str">
        <f t="shared" si="0"/>
        <v/>
      </c>
      <c r="M34" s="92"/>
    </row>
    <row r="35" spans="1:13" ht="42" customHeight="1" x14ac:dyDescent="0.2">
      <c r="A35" s="92"/>
      <c r="B35" s="92"/>
      <c r="C35" s="92"/>
      <c r="D35" s="92"/>
      <c r="E35" s="92"/>
      <c r="F35" s="92"/>
      <c r="G35" s="92"/>
      <c r="H35" s="92"/>
      <c r="I35" s="92"/>
      <c r="J35" s="93"/>
      <c r="K35" s="93"/>
      <c r="L35" s="93" t="str">
        <f t="shared" si="0"/>
        <v/>
      </c>
      <c r="M35" s="92"/>
    </row>
    <row r="36" spans="1:13" ht="42" customHeight="1" x14ac:dyDescent="0.2">
      <c r="A36" s="92"/>
      <c r="B36" s="92"/>
      <c r="C36" s="92"/>
      <c r="D36" s="92"/>
      <c r="E36" s="92"/>
      <c r="F36" s="92"/>
      <c r="G36" s="92"/>
      <c r="H36" s="92"/>
      <c r="I36" s="92"/>
      <c r="J36" s="93"/>
      <c r="K36" s="93"/>
      <c r="L36" s="93" t="str">
        <f t="shared" si="0"/>
        <v/>
      </c>
      <c r="M36" s="92"/>
    </row>
    <row r="37" spans="1:13" ht="42" customHeight="1" x14ac:dyDescent="0.2">
      <c r="A37" s="92"/>
      <c r="B37" s="92"/>
      <c r="C37" s="92"/>
      <c r="D37" s="92"/>
      <c r="E37" s="92"/>
      <c r="F37" s="92"/>
      <c r="G37" s="92"/>
      <c r="H37" s="92"/>
      <c r="I37" s="92"/>
      <c r="J37" s="93"/>
      <c r="K37" s="93"/>
      <c r="L37" s="93" t="str">
        <f t="shared" si="0"/>
        <v/>
      </c>
      <c r="M37" s="92"/>
    </row>
    <row r="38" spans="1:13" ht="42" customHeight="1" x14ac:dyDescent="0.2">
      <c r="A38" s="92"/>
      <c r="B38" s="92"/>
      <c r="C38" s="92"/>
      <c r="D38" s="92"/>
      <c r="E38" s="92"/>
      <c r="F38" s="92"/>
      <c r="G38" s="92"/>
      <c r="H38" s="92"/>
      <c r="I38" s="92"/>
      <c r="J38" s="93"/>
      <c r="K38" s="93"/>
      <c r="L38" s="93" t="str">
        <f t="shared" si="0"/>
        <v/>
      </c>
      <c r="M38" s="92"/>
    </row>
    <row r="39" spans="1:13" ht="42" customHeight="1" x14ac:dyDescent="0.2">
      <c r="A39" s="92"/>
      <c r="B39" s="92"/>
      <c r="C39" s="92"/>
      <c r="D39" s="92"/>
      <c r="E39" s="92"/>
      <c r="F39" s="92"/>
      <c r="G39" s="92"/>
      <c r="H39" s="92"/>
      <c r="I39" s="92"/>
      <c r="J39" s="93"/>
      <c r="K39" s="93"/>
      <c r="L39" s="93" t="str">
        <f t="shared" ref="L39:L70" si="1">IF(OR(J39="",K39=""),"",MAX(J39-K39,0))</f>
        <v/>
      </c>
      <c r="M39" s="92"/>
    </row>
    <row r="40" spans="1:13" ht="42" customHeight="1" x14ac:dyDescent="0.2">
      <c r="A40" s="92"/>
      <c r="B40" s="92"/>
      <c r="C40" s="92"/>
      <c r="D40" s="92"/>
      <c r="E40" s="92"/>
      <c r="F40" s="92"/>
      <c r="G40" s="92"/>
      <c r="H40" s="92"/>
      <c r="I40" s="92"/>
      <c r="J40" s="93"/>
      <c r="K40" s="93"/>
      <c r="L40" s="93" t="str">
        <f t="shared" si="1"/>
        <v/>
      </c>
      <c r="M40" s="92"/>
    </row>
    <row r="41" spans="1:13" ht="42" customHeight="1" x14ac:dyDescent="0.2">
      <c r="A41" s="92"/>
      <c r="B41" s="92"/>
      <c r="C41" s="92"/>
      <c r="D41" s="92"/>
      <c r="E41" s="92"/>
      <c r="F41" s="92"/>
      <c r="G41" s="92"/>
      <c r="H41" s="92"/>
      <c r="I41" s="92"/>
      <c r="J41" s="93"/>
      <c r="K41" s="93"/>
      <c r="L41" s="93" t="str">
        <f t="shared" si="1"/>
        <v/>
      </c>
      <c r="M41" s="92"/>
    </row>
    <row r="42" spans="1:13" ht="42" customHeight="1" x14ac:dyDescent="0.2">
      <c r="A42" s="92"/>
      <c r="B42" s="92"/>
      <c r="C42" s="92"/>
      <c r="D42" s="92"/>
      <c r="E42" s="92"/>
      <c r="F42" s="92"/>
      <c r="G42" s="92"/>
      <c r="H42" s="92"/>
      <c r="I42" s="92"/>
      <c r="J42" s="93"/>
      <c r="K42" s="93"/>
      <c r="L42" s="93" t="str">
        <f t="shared" si="1"/>
        <v/>
      </c>
      <c r="M42" s="92"/>
    </row>
    <row r="43" spans="1:13" ht="42" customHeight="1" x14ac:dyDescent="0.2">
      <c r="A43" s="92"/>
      <c r="B43" s="92"/>
      <c r="C43" s="92"/>
      <c r="D43" s="92"/>
      <c r="E43" s="92"/>
      <c r="F43" s="92"/>
      <c r="G43" s="92"/>
      <c r="H43" s="92"/>
      <c r="I43" s="92"/>
      <c r="J43" s="93"/>
      <c r="K43" s="93"/>
      <c r="L43" s="93" t="str">
        <f t="shared" si="1"/>
        <v/>
      </c>
      <c r="M43" s="92"/>
    </row>
    <row r="44" spans="1:13" ht="42" customHeight="1" x14ac:dyDescent="0.2">
      <c r="A44" s="92"/>
      <c r="B44" s="92"/>
      <c r="C44" s="92"/>
      <c r="D44" s="92"/>
      <c r="E44" s="92"/>
      <c r="F44" s="92"/>
      <c r="G44" s="92"/>
      <c r="H44" s="92"/>
      <c r="I44" s="92"/>
      <c r="J44" s="93"/>
      <c r="K44" s="93"/>
      <c r="L44" s="93" t="str">
        <f t="shared" si="1"/>
        <v/>
      </c>
      <c r="M44" s="92"/>
    </row>
    <row r="45" spans="1:13" ht="42" customHeight="1" x14ac:dyDescent="0.2">
      <c r="A45" s="92"/>
      <c r="B45" s="92"/>
      <c r="C45" s="92"/>
      <c r="D45" s="92"/>
      <c r="E45" s="92"/>
      <c r="F45" s="92"/>
      <c r="G45" s="92"/>
      <c r="H45" s="92"/>
      <c r="I45" s="92"/>
      <c r="J45" s="93"/>
      <c r="K45" s="93"/>
      <c r="L45" s="93" t="str">
        <f t="shared" si="1"/>
        <v/>
      </c>
      <c r="M45" s="92"/>
    </row>
    <row r="46" spans="1:13" ht="42" customHeight="1" x14ac:dyDescent="0.2">
      <c r="A46" s="92"/>
      <c r="B46" s="92"/>
      <c r="C46" s="92"/>
      <c r="D46" s="92"/>
      <c r="E46" s="92"/>
      <c r="F46" s="92"/>
      <c r="G46" s="92"/>
      <c r="H46" s="92"/>
      <c r="I46" s="92"/>
      <c r="J46" s="93"/>
      <c r="K46" s="93"/>
      <c r="L46" s="93" t="str">
        <f t="shared" si="1"/>
        <v/>
      </c>
      <c r="M46" s="92"/>
    </row>
    <row r="47" spans="1:13" ht="42" customHeight="1" x14ac:dyDescent="0.2">
      <c r="A47" s="92"/>
      <c r="B47" s="92"/>
      <c r="C47" s="92"/>
      <c r="D47" s="92"/>
      <c r="E47" s="92"/>
      <c r="F47" s="92"/>
      <c r="G47" s="92"/>
      <c r="H47" s="92"/>
      <c r="I47" s="92"/>
      <c r="J47" s="93"/>
      <c r="K47" s="93"/>
      <c r="L47" s="93" t="str">
        <f t="shared" si="1"/>
        <v/>
      </c>
      <c r="M47" s="92"/>
    </row>
    <row r="48" spans="1:13" ht="42" customHeight="1" x14ac:dyDescent="0.2">
      <c r="A48" s="92"/>
      <c r="B48" s="92"/>
      <c r="C48" s="92"/>
      <c r="D48" s="92"/>
      <c r="E48" s="92"/>
      <c r="F48" s="92"/>
      <c r="G48" s="92"/>
      <c r="H48" s="92"/>
      <c r="I48" s="92"/>
      <c r="J48" s="93"/>
      <c r="K48" s="93"/>
      <c r="L48" s="93" t="str">
        <f t="shared" si="1"/>
        <v/>
      </c>
      <c r="M48" s="92"/>
    </row>
    <row r="49" spans="1:13" ht="42" customHeight="1" x14ac:dyDescent="0.2">
      <c r="A49" s="92"/>
      <c r="B49" s="92"/>
      <c r="C49" s="92"/>
      <c r="D49" s="92"/>
      <c r="E49" s="92"/>
      <c r="F49" s="92"/>
      <c r="G49" s="92"/>
      <c r="H49" s="92"/>
      <c r="I49" s="92"/>
      <c r="J49" s="93"/>
      <c r="K49" s="93"/>
      <c r="L49" s="93" t="str">
        <f t="shared" si="1"/>
        <v/>
      </c>
      <c r="M49" s="92"/>
    </row>
    <row r="50" spans="1:13" ht="42" customHeight="1" x14ac:dyDescent="0.2">
      <c r="A50" s="92"/>
      <c r="B50" s="92"/>
      <c r="C50" s="92"/>
      <c r="D50" s="92"/>
      <c r="E50" s="92"/>
      <c r="F50" s="92"/>
      <c r="G50" s="92"/>
      <c r="H50" s="92"/>
      <c r="I50" s="92"/>
      <c r="J50" s="93"/>
      <c r="K50" s="93"/>
      <c r="L50" s="93" t="str">
        <f t="shared" si="1"/>
        <v/>
      </c>
      <c r="M50" s="92"/>
    </row>
    <row r="51" spans="1:13" ht="42" customHeight="1" x14ac:dyDescent="0.2">
      <c r="A51" s="92"/>
      <c r="B51" s="92"/>
      <c r="C51" s="92"/>
      <c r="D51" s="92"/>
      <c r="E51" s="92"/>
      <c r="F51" s="92"/>
      <c r="G51" s="92"/>
      <c r="H51" s="92"/>
      <c r="I51" s="92"/>
      <c r="J51" s="93"/>
      <c r="K51" s="93"/>
      <c r="L51" s="93" t="str">
        <f t="shared" si="1"/>
        <v/>
      </c>
      <c r="M51" s="92"/>
    </row>
    <row r="52" spans="1:13" ht="42" customHeight="1" x14ac:dyDescent="0.2">
      <c r="A52" s="92"/>
      <c r="B52" s="92"/>
      <c r="C52" s="92"/>
      <c r="D52" s="92"/>
      <c r="E52" s="92"/>
      <c r="F52" s="92"/>
      <c r="G52" s="92"/>
      <c r="H52" s="92"/>
      <c r="I52" s="92"/>
      <c r="J52" s="93"/>
      <c r="K52" s="93"/>
      <c r="L52" s="93" t="str">
        <f t="shared" si="1"/>
        <v/>
      </c>
      <c r="M52" s="92"/>
    </row>
    <row r="53" spans="1:13" ht="42" customHeight="1" x14ac:dyDescent="0.2">
      <c r="A53" s="92"/>
      <c r="B53" s="92"/>
      <c r="C53" s="92"/>
      <c r="D53" s="92"/>
      <c r="E53" s="92"/>
      <c r="F53" s="92"/>
      <c r="G53" s="92"/>
      <c r="H53" s="92"/>
      <c r="I53" s="92"/>
      <c r="J53" s="93"/>
      <c r="K53" s="93"/>
      <c r="L53" s="93" t="str">
        <f t="shared" si="1"/>
        <v/>
      </c>
      <c r="M53" s="92"/>
    </row>
    <row r="54" spans="1:13" ht="42" customHeight="1" x14ac:dyDescent="0.2">
      <c r="A54" s="92"/>
      <c r="B54" s="92"/>
      <c r="C54" s="92"/>
      <c r="D54" s="92"/>
      <c r="E54" s="92"/>
      <c r="F54" s="92"/>
      <c r="G54" s="92"/>
      <c r="H54" s="92"/>
      <c r="I54" s="92"/>
      <c r="J54" s="93"/>
      <c r="K54" s="93"/>
      <c r="L54" s="93" t="str">
        <f t="shared" si="1"/>
        <v/>
      </c>
      <c r="M54" s="92"/>
    </row>
    <row r="55" spans="1:13" ht="42" customHeight="1" x14ac:dyDescent="0.2">
      <c r="A55" s="92"/>
      <c r="B55" s="92"/>
      <c r="C55" s="92"/>
      <c r="D55" s="92"/>
      <c r="E55" s="92"/>
      <c r="F55" s="92"/>
      <c r="G55" s="92"/>
      <c r="H55" s="92"/>
      <c r="I55" s="92"/>
      <c r="J55" s="93"/>
      <c r="K55" s="93"/>
      <c r="L55" s="93" t="str">
        <f t="shared" si="1"/>
        <v/>
      </c>
      <c r="M55" s="92"/>
    </row>
    <row r="56" spans="1:13" ht="42" customHeight="1" x14ac:dyDescent="0.2">
      <c r="A56" s="92"/>
      <c r="B56" s="92"/>
      <c r="C56" s="92"/>
      <c r="D56" s="92"/>
      <c r="E56" s="92"/>
      <c r="F56" s="92"/>
      <c r="G56" s="92"/>
      <c r="H56" s="92"/>
      <c r="I56" s="92"/>
      <c r="J56" s="93"/>
      <c r="K56" s="93"/>
      <c r="L56" s="93" t="str">
        <f t="shared" si="1"/>
        <v/>
      </c>
      <c r="M56" s="92"/>
    </row>
    <row r="57" spans="1:13" ht="42" customHeight="1" x14ac:dyDescent="0.2">
      <c r="A57" s="92"/>
      <c r="B57" s="92"/>
      <c r="C57" s="92"/>
      <c r="D57" s="92"/>
      <c r="E57" s="92"/>
      <c r="F57" s="92"/>
      <c r="G57" s="92"/>
      <c r="H57" s="92"/>
      <c r="I57" s="92"/>
      <c r="J57" s="93"/>
      <c r="K57" s="93"/>
      <c r="L57" s="93" t="str">
        <f t="shared" si="1"/>
        <v/>
      </c>
      <c r="M57" s="92"/>
    </row>
    <row r="58" spans="1:13" ht="42" customHeight="1" x14ac:dyDescent="0.2">
      <c r="A58" s="92"/>
      <c r="B58" s="92"/>
      <c r="C58" s="92"/>
      <c r="D58" s="92"/>
      <c r="E58" s="92"/>
      <c r="F58" s="92"/>
      <c r="G58" s="92"/>
      <c r="H58" s="92"/>
      <c r="I58" s="92"/>
      <c r="J58" s="93"/>
      <c r="K58" s="93"/>
      <c r="L58" s="93" t="str">
        <f t="shared" si="1"/>
        <v/>
      </c>
      <c r="M58" s="92"/>
    </row>
    <row r="59" spans="1:13" ht="42" customHeight="1" x14ac:dyDescent="0.2">
      <c r="A59" s="92"/>
      <c r="B59" s="92"/>
      <c r="C59" s="92"/>
      <c r="D59" s="92"/>
      <c r="E59" s="92"/>
      <c r="F59" s="92"/>
      <c r="G59" s="92"/>
      <c r="H59" s="92"/>
      <c r="I59" s="92"/>
      <c r="J59" s="93"/>
      <c r="K59" s="93"/>
      <c r="L59" s="93" t="str">
        <f t="shared" si="1"/>
        <v/>
      </c>
      <c r="M59" s="92"/>
    </row>
    <row r="60" spans="1:13" ht="42" customHeight="1" x14ac:dyDescent="0.2">
      <c r="A60" s="92"/>
      <c r="B60" s="92"/>
      <c r="C60" s="92"/>
      <c r="D60" s="92"/>
      <c r="E60" s="92"/>
      <c r="F60" s="92"/>
      <c r="G60" s="92"/>
      <c r="H60" s="92"/>
      <c r="I60" s="92"/>
      <c r="J60" s="93"/>
      <c r="K60" s="93"/>
      <c r="L60" s="93" t="str">
        <f t="shared" si="1"/>
        <v/>
      </c>
      <c r="M60" s="92"/>
    </row>
    <row r="61" spans="1:13" ht="42" customHeight="1" x14ac:dyDescent="0.2">
      <c r="A61" s="92"/>
      <c r="B61" s="92"/>
      <c r="C61" s="92"/>
      <c r="D61" s="92"/>
      <c r="E61" s="92"/>
      <c r="F61" s="92"/>
      <c r="G61" s="92"/>
      <c r="H61" s="92"/>
      <c r="I61" s="92"/>
      <c r="J61" s="93"/>
      <c r="K61" s="93"/>
      <c r="L61" s="93" t="str">
        <f t="shared" si="1"/>
        <v/>
      </c>
      <c r="M61" s="92"/>
    </row>
    <row r="62" spans="1:13" ht="42" customHeight="1" x14ac:dyDescent="0.2">
      <c r="A62" s="92"/>
      <c r="B62" s="92"/>
      <c r="C62" s="92"/>
      <c r="D62" s="92"/>
      <c r="E62" s="92"/>
      <c r="F62" s="92"/>
      <c r="G62" s="92"/>
      <c r="H62" s="92"/>
      <c r="I62" s="92"/>
      <c r="J62" s="93"/>
      <c r="K62" s="93"/>
      <c r="L62" s="93" t="str">
        <f t="shared" si="1"/>
        <v/>
      </c>
      <c r="M62" s="92"/>
    </row>
    <row r="63" spans="1:13" ht="42" customHeight="1" x14ac:dyDescent="0.2">
      <c r="A63" s="92"/>
      <c r="B63" s="92"/>
      <c r="C63" s="92"/>
      <c r="D63" s="92"/>
      <c r="E63" s="92"/>
      <c r="F63" s="92"/>
      <c r="G63" s="92"/>
      <c r="H63" s="92"/>
      <c r="I63" s="92"/>
      <c r="J63" s="93"/>
      <c r="K63" s="93"/>
      <c r="L63" s="93" t="str">
        <f t="shared" si="1"/>
        <v/>
      </c>
      <c r="M63" s="92"/>
    </row>
    <row r="64" spans="1:13" ht="42" customHeight="1" x14ac:dyDescent="0.2">
      <c r="A64" s="92"/>
      <c r="B64" s="92"/>
      <c r="C64" s="92"/>
      <c r="D64" s="92"/>
      <c r="E64" s="92"/>
      <c r="F64" s="92"/>
      <c r="G64" s="92"/>
      <c r="H64" s="92"/>
      <c r="I64" s="92"/>
      <c r="J64" s="93"/>
      <c r="K64" s="93"/>
      <c r="L64" s="93" t="str">
        <f t="shared" si="1"/>
        <v/>
      </c>
      <c r="M64" s="92"/>
    </row>
    <row r="65" spans="1:13" ht="42" customHeight="1" x14ac:dyDescent="0.2">
      <c r="A65" s="92"/>
      <c r="B65" s="92"/>
      <c r="C65" s="92"/>
      <c r="D65" s="92"/>
      <c r="E65" s="92"/>
      <c r="F65" s="92"/>
      <c r="G65" s="92"/>
      <c r="H65" s="92"/>
      <c r="I65" s="92"/>
      <c r="J65" s="93"/>
      <c r="K65" s="93"/>
      <c r="L65" s="93" t="str">
        <f t="shared" si="1"/>
        <v/>
      </c>
      <c r="M65" s="92"/>
    </row>
    <row r="66" spans="1:13" ht="42" customHeight="1" x14ac:dyDescent="0.2">
      <c r="A66" s="92"/>
      <c r="B66" s="92"/>
      <c r="C66" s="92"/>
      <c r="D66" s="92"/>
      <c r="E66" s="92"/>
      <c r="F66" s="92"/>
      <c r="G66" s="92"/>
      <c r="H66" s="92"/>
      <c r="I66" s="92"/>
      <c r="J66" s="93"/>
      <c r="K66" s="93"/>
      <c r="L66" s="93" t="str">
        <f t="shared" si="1"/>
        <v/>
      </c>
      <c r="M66" s="92"/>
    </row>
    <row r="67" spans="1:13" ht="42" customHeight="1" x14ac:dyDescent="0.2">
      <c r="A67" s="92"/>
      <c r="B67" s="92"/>
      <c r="C67" s="92"/>
      <c r="D67" s="92"/>
      <c r="E67" s="92"/>
      <c r="F67" s="92"/>
      <c r="G67" s="92"/>
      <c r="H67" s="92"/>
      <c r="I67" s="92"/>
      <c r="J67" s="93"/>
      <c r="K67" s="93"/>
      <c r="L67" s="93" t="str">
        <f t="shared" si="1"/>
        <v/>
      </c>
      <c r="M67" s="92"/>
    </row>
    <row r="68" spans="1:13" ht="42" customHeight="1" x14ac:dyDescent="0.2">
      <c r="A68" s="92"/>
      <c r="B68" s="92"/>
      <c r="C68" s="92"/>
      <c r="D68" s="92"/>
      <c r="E68" s="92"/>
      <c r="F68" s="92"/>
      <c r="G68" s="92"/>
      <c r="H68" s="92"/>
      <c r="I68" s="92"/>
      <c r="J68" s="93"/>
      <c r="K68" s="93"/>
      <c r="L68" s="93" t="str">
        <f t="shared" si="1"/>
        <v/>
      </c>
      <c r="M68" s="92"/>
    </row>
    <row r="69" spans="1:13" ht="42" customHeight="1" x14ac:dyDescent="0.2">
      <c r="A69" s="92"/>
      <c r="B69" s="92"/>
      <c r="C69" s="92"/>
      <c r="D69" s="92"/>
      <c r="E69" s="92"/>
      <c r="F69" s="92"/>
      <c r="G69" s="92"/>
      <c r="H69" s="92"/>
      <c r="I69" s="92"/>
      <c r="J69" s="93"/>
      <c r="K69" s="93"/>
      <c r="L69" s="93" t="str">
        <f t="shared" si="1"/>
        <v/>
      </c>
      <c r="M69" s="92"/>
    </row>
    <row r="70" spans="1:13" ht="42" customHeight="1" x14ac:dyDescent="0.2">
      <c r="A70" s="92"/>
      <c r="B70" s="92"/>
      <c r="C70" s="92"/>
      <c r="D70" s="92"/>
      <c r="E70" s="92"/>
      <c r="F70" s="92"/>
      <c r="G70" s="92"/>
      <c r="H70" s="92"/>
      <c r="I70" s="92"/>
      <c r="J70" s="93"/>
      <c r="K70" s="93"/>
      <c r="L70" s="93" t="str">
        <f t="shared" si="1"/>
        <v/>
      </c>
      <c r="M70" s="92"/>
    </row>
    <row r="71" spans="1:13" ht="42" customHeight="1" x14ac:dyDescent="0.2">
      <c r="A71" s="92"/>
      <c r="B71" s="92"/>
      <c r="C71" s="92"/>
      <c r="D71" s="92"/>
      <c r="E71" s="92"/>
      <c r="F71" s="92"/>
      <c r="G71" s="92"/>
      <c r="H71" s="92"/>
      <c r="I71" s="92"/>
      <c r="J71" s="93"/>
      <c r="K71" s="93"/>
      <c r="L71" s="93" t="str">
        <f t="shared" ref="L71:L102" si="2">IF(OR(J71="",K71=""),"",MAX(J71-K71,0))</f>
        <v/>
      </c>
      <c r="M71" s="92"/>
    </row>
    <row r="72" spans="1:13" ht="42" customHeight="1" x14ac:dyDescent="0.2">
      <c r="A72" s="92"/>
      <c r="B72" s="92"/>
      <c r="C72" s="92"/>
      <c r="D72" s="92"/>
      <c r="E72" s="92"/>
      <c r="F72" s="92"/>
      <c r="G72" s="92"/>
      <c r="H72" s="92"/>
      <c r="I72" s="92"/>
      <c r="J72" s="93"/>
      <c r="K72" s="93"/>
      <c r="L72" s="93" t="str">
        <f t="shared" si="2"/>
        <v/>
      </c>
      <c r="M72" s="92"/>
    </row>
    <row r="73" spans="1:13" ht="42" customHeight="1" x14ac:dyDescent="0.2">
      <c r="A73" s="92"/>
      <c r="B73" s="92"/>
      <c r="C73" s="92"/>
      <c r="D73" s="92"/>
      <c r="E73" s="92"/>
      <c r="F73" s="92"/>
      <c r="G73" s="92"/>
      <c r="H73" s="92"/>
      <c r="I73" s="92"/>
      <c r="J73" s="93"/>
      <c r="K73" s="93"/>
      <c r="L73" s="93" t="str">
        <f t="shared" si="2"/>
        <v/>
      </c>
      <c r="M73" s="92"/>
    </row>
    <row r="74" spans="1:13" ht="42" customHeight="1" x14ac:dyDescent="0.2">
      <c r="A74" s="92"/>
      <c r="B74" s="92"/>
      <c r="C74" s="92"/>
      <c r="D74" s="92"/>
      <c r="E74" s="92"/>
      <c r="F74" s="92"/>
      <c r="G74" s="92"/>
      <c r="H74" s="92"/>
      <c r="I74" s="92"/>
      <c r="J74" s="93"/>
      <c r="K74" s="93"/>
      <c r="L74" s="93" t="str">
        <f t="shared" si="2"/>
        <v/>
      </c>
      <c r="M74" s="92"/>
    </row>
    <row r="75" spans="1:13" ht="42" customHeight="1" x14ac:dyDescent="0.2">
      <c r="A75" s="92"/>
      <c r="B75" s="92"/>
      <c r="C75" s="92"/>
      <c r="D75" s="92"/>
      <c r="E75" s="92"/>
      <c r="F75" s="92"/>
      <c r="G75" s="92"/>
      <c r="H75" s="92"/>
      <c r="I75" s="92"/>
      <c r="J75" s="93"/>
      <c r="K75" s="93"/>
      <c r="L75" s="93" t="str">
        <f t="shared" si="2"/>
        <v/>
      </c>
      <c r="M75" s="92"/>
    </row>
    <row r="76" spans="1:13" ht="42" customHeight="1" x14ac:dyDescent="0.2">
      <c r="A76" s="92"/>
      <c r="B76" s="92"/>
      <c r="C76" s="92"/>
      <c r="D76" s="92"/>
      <c r="E76" s="92"/>
      <c r="F76" s="92"/>
      <c r="G76" s="92"/>
      <c r="H76" s="92"/>
      <c r="I76" s="92"/>
      <c r="J76" s="93"/>
      <c r="K76" s="93"/>
      <c r="L76" s="93" t="str">
        <f t="shared" si="2"/>
        <v/>
      </c>
      <c r="M76" s="92"/>
    </row>
    <row r="77" spans="1:13" ht="42" customHeight="1" x14ac:dyDescent="0.2">
      <c r="A77" s="92"/>
      <c r="B77" s="92"/>
      <c r="C77" s="92"/>
      <c r="D77" s="92"/>
      <c r="E77" s="92"/>
      <c r="F77" s="92"/>
      <c r="G77" s="92"/>
      <c r="H77" s="92"/>
      <c r="I77" s="92"/>
      <c r="J77" s="93"/>
      <c r="K77" s="93"/>
      <c r="L77" s="93" t="str">
        <f t="shared" si="2"/>
        <v/>
      </c>
      <c r="M77" s="92"/>
    </row>
    <row r="78" spans="1:13" ht="42" customHeight="1" x14ac:dyDescent="0.2">
      <c r="A78" s="92"/>
      <c r="B78" s="92"/>
      <c r="C78" s="92"/>
      <c r="D78" s="92"/>
      <c r="E78" s="92"/>
      <c r="F78" s="92"/>
      <c r="G78" s="92"/>
      <c r="H78" s="92"/>
      <c r="I78" s="92"/>
      <c r="J78" s="93"/>
      <c r="K78" s="93"/>
      <c r="L78" s="93" t="str">
        <f t="shared" si="2"/>
        <v/>
      </c>
      <c r="M78" s="92"/>
    </row>
    <row r="79" spans="1:13" ht="42" customHeight="1" x14ac:dyDescent="0.2">
      <c r="A79" s="92"/>
      <c r="B79" s="92"/>
      <c r="C79" s="92"/>
      <c r="D79" s="92"/>
      <c r="E79" s="92"/>
      <c r="F79" s="92"/>
      <c r="G79" s="92"/>
      <c r="H79" s="92"/>
      <c r="I79" s="92"/>
      <c r="J79" s="93"/>
      <c r="K79" s="93"/>
      <c r="L79" s="93" t="str">
        <f t="shared" si="2"/>
        <v/>
      </c>
      <c r="M79" s="92"/>
    </row>
    <row r="80" spans="1:13" ht="42" customHeight="1" x14ac:dyDescent="0.2">
      <c r="A80" s="92"/>
      <c r="B80" s="92"/>
      <c r="C80" s="92"/>
      <c r="D80" s="92"/>
      <c r="E80" s="92"/>
      <c r="F80" s="92"/>
      <c r="G80" s="92"/>
      <c r="H80" s="92"/>
      <c r="I80" s="92"/>
      <c r="J80" s="93"/>
      <c r="K80" s="93"/>
      <c r="L80" s="93" t="str">
        <f t="shared" si="2"/>
        <v/>
      </c>
      <c r="M80" s="92"/>
    </row>
    <row r="81" spans="1:13" ht="42" customHeight="1" x14ac:dyDescent="0.2">
      <c r="A81" s="92"/>
      <c r="B81" s="92"/>
      <c r="C81" s="92"/>
      <c r="D81" s="92"/>
      <c r="E81" s="92"/>
      <c r="F81" s="92"/>
      <c r="G81" s="92"/>
      <c r="H81" s="92"/>
      <c r="I81" s="92"/>
      <c r="J81" s="93"/>
      <c r="K81" s="93"/>
      <c r="L81" s="93" t="str">
        <f t="shared" si="2"/>
        <v/>
      </c>
      <c r="M81" s="92"/>
    </row>
    <row r="82" spans="1:13" ht="42" customHeight="1" x14ac:dyDescent="0.2">
      <c r="A82" s="92"/>
      <c r="B82" s="92"/>
      <c r="C82" s="92"/>
      <c r="D82" s="92"/>
      <c r="E82" s="92"/>
      <c r="F82" s="92"/>
      <c r="G82" s="92"/>
      <c r="H82" s="92"/>
      <c r="I82" s="92"/>
      <c r="J82" s="93"/>
      <c r="K82" s="93"/>
      <c r="L82" s="93" t="str">
        <f t="shared" si="2"/>
        <v/>
      </c>
      <c r="M82" s="92"/>
    </row>
    <row r="83" spans="1:13" ht="42" customHeight="1" x14ac:dyDescent="0.2">
      <c r="A83" s="92"/>
      <c r="B83" s="92"/>
      <c r="C83" s="92"/>
      <c r="D83" s="92"/>
      <c r="E83" s="92"/>
      <c r="F83" s="92"/>
      <c r="G83" s="92"/>
      <c r="H83" s="92"/>
      <c r="I83" s="92"/>
      <c r="J83" s="93"/>
      <c r="K83" s="93"/>
      <c r="L83" s="93" t="str">
        <f t="shared" si="2"/>
        <v/>
      </c>
      <c r="M83" s="92"/>
    </row>
    <row r="84" spans="1:13" ht="42" customHeight="1" x14ac:dyDescent="0.2">
      <c r="A84" s="92"/>
      <c r="B84" s="92"/>
      <c r="C84" s="92"/>
      <c r="D84" s="92"/>
      <c r="E84" s="92"/>
      <c r="F84" s="92"/>
      <c r="G84" s="92"/>
      <c r="H84" s="92"/>
      <c r="I84" s="92"/>
      <c r="J84" s="93"/>
      <c r="K84" s="93"/>
      <c r="L84" s="93" t="str">
        <f t="shared" si="2"/>
        <v/>
      </c>
      <c r="M84" s="92"/>
    </row>
    <row r="85" spans="1:13" ht="42" customHeight="1" x14ac:dyDescent="0.2">
      <c r="A85" s="92"/>
      <c r="B85" s="92"/>
      <c r="C85" s="92"/>
      <c r="D85" s="92"/>
      <c r="E85" s="92"/>
      <c r="F85" s="92"/>
      <c r="G85" s="92"/>
      <c r="H85" s="92"/>
      <c r="I85" s="92"/>
      <c r="J85" s="93"/>
      <c r="K85" s="93"/>
      <c r="L85" s="93" t="str">
        <f t="shared" si="2"/>
        <v/>
      </c>
      <c r="M85" s="92"/>
    </row>
    <row r="86" spans="1:13" ht="42" customHeight="1" x14ac:dyDescent="0.2">
      <c r="A86" s="92"/>
      <c r="B86" s="92"/>
      <c r="C86" s="92"/>
      <c r="D86" s="92"/>
      <c r="E86" s="92"/>
      <c r="F86" s="92"/>
      <c r="G86" s="92"/>
      <c r="H86" s="92"/>
      <c r="I86" s="92"/>
      <c r="J86" s="93"/>
      <c r="K86" s="93"/>
      <c r="L86" s="93" t="str">
        <f t="shared" si="2"/>
        <v/>
      </c>
      <c r="M86" s="92"/>
    </row>
    <row r="87" spans="1:13" ht="42" customHeight="1" x14ac:dyDescent="0.2">
      <c r="A87" s="92"/>
      <c r="B87" s="92"/>
      <c r="C87" s="92"/>
      <c r="D87" s="92"/>
      <c r="E87" s="92"/>
      <c r="F87" s="92"/>
      <c r="G87" s="92"/>
      <c r="H87" s="92"/>
      <c r="I87" s="92"/>
      <c r="J87" s="93"/>
      <c r="K87" s="93"/>
      <c r="L87" s="93" t="str">
        <f t="shared" si="2"/>
        <v/>
      </c>
      <c r="M87" s="92"/>
    </row>
    <row r="88" spans="1:13" ht="42" customHeight="1" x14ac:dyDescent="0.2">
      <c r="A88" s="92"/>
      <c r="B88" s="92"/>
      <c r="C88" s="92"/>
      <c r="D88" s="92"/>
      <c r="E88" s="92"/>
      <c r="F88" s="92"/>
      <c r="G88" s="92"/>
      <c r="H88" s="92"/>
      <c r="I88" s="92"/>
      <c r="J88" s="93"/>
      <c r="K88" s="93"/>
      <c r="L88" s="93" t="str">
        <f t="shared" si="2"/>
        <v/>
      </c>
      <c r="M88" s="92"/>
    </row>
    <row r="89" spans="1:13" ht="42" customHeight="1" x14ac:dyDescent="0.2">
      <c r="A89" s="92"/>
      <c r="B89" s="92"/>
      <c r="C89" s="92"/>
      <c r="D89" s="92"/>
      <c r="E89" s="92"/>
      <c r="F89" s="92"/>
      <c r="G89" s="92"/>
      <c r="H89" s="92"/>
      <c r="I89" s="92"/>
      <c r="J89" s="93"/>
      <c r="K89" s="93"/>
      <c r="L89" s="93" t="str">
        <f t="shared" si="2"/>
        <v/>
      </c>
      <c r="M89" s="92"/>
    </row>
    <row r="90" spans="1:13" ht="42" customHeight="1" x14ac:dyDescent="0.2">
      <c r="A90" s="92"/>
      <c r="B90" s="92"/>
      <c r="C90" s="92"/>
      <c r="D90" s="92"/>
      <c r="E90" s="92"/>
      <c r="F90" s="92"/>
      <c r="G90" s="92"/>
      <c r="H90" s="92"/>
      <c r="I90" s="92"/>
      <c r="J90" s="93"/>
      <c r="K90" s="93"/>
      <c r="L90" s="93" t="str">
        <f t="shared" si="2"/>
        <v/>
      </c>
      <c r="M90" s="92"/>
    </row>
    <row r="91" spans="1:13" ht="42" customHeight="1" x14ac:dyDescent="0.2">
      <c r="A91" s="92"/>
      <c r="B91" s="92"/>
      <c r="C91" s="92"/>
      <c r="D91" s="92"/>
      <c r="E91" s="92"/>
      <c r="F91" s="92"/>
      <c r="G91" s="92"/>
      <c r="H91" s="92"/>
      <c r="I91" s="92"/>
      <c r="J91" s="93"/>
      <c r="K91" s="93"/>
      <c r="L91" s="93" t="str">
        <f t="shared" si="2"/>
        <v/>
      </c>
      <c r="M91" s="92"/>
    </row>
    <row r="92" spans="1:13" ht="42" customHeight="1" x14ac:dyDescent="0.2">
      <c r="A92" s="92"/>
      <c r="B92" s="92"/>
      <c r="C92" s="92"/>
      <c r="D92" s="92"/>
      <c r="E92" s="92"/>
      <c r="F92" s="92"/>
      <c r="G92" s="92"/>
      <c r="H92" s="92"/>
      <c r="I92" s="92"/>
      <c r="J92" s="93"/>
      <c r="K92" s="93"/>
      <c r="L92" s="93" t="str">
        <f t="shared" si="2"/>
        <v/>
      </c>
      <c r="M92" s="92"/>
    </row>
    <row r="93" spans="1:13" ht="42" customHeight="1" x14ac:dyDescent="0.2">
      <c r="A93" s="92"/>
      <c r="B93" s="92"/>
      <c r="C93" s="92"/>
      <c r="D93" s="92"/>
      <c r="E93" s="92"/>
      <c r="F93" s="92"/>
      <c r="G93" s="92"/>
      <c r="H93" s="92"/>
      <c r="I93" s="92"/>
      <c r="J93" s="93"/>
      <c r="K93" s="93"/>
      <c r="L93" s="93" t="str">
        <f t="shared" si="2"/>
        <v/>
      </c>
      <c r="M93" s="92"/>
    </row>
    <row r="94" spans="1:13" ht="42" customHeight="1" x14ac:dyDescent="0.2">
      <c r="A94" s="92"/>
      <c r="B94" s="92"/>
      <c r="C94" s="92"/>
      <c r="D94" s="92"/>
      <c r="E94" s="92"/>
      <c r="F94" s="92"/>
      <c r="G94" s="92"/>
      <c r="H94" s="92"/>
      <c r="I94" s="92"/>
      <c r="J94" s="93"/>
      <c r="K94" s="93"/>
      <c r="L94" s="93" t="str">
        <f t="shared" si="2"/>
        <v/>
      </c>
      <c r="M94" s="92"/>
    </row>
    <row r="95" spans="1:13" ht="42" customHeight="1" x14ac:dyDescent="0.2">
      <c r="A95" s="92"/>
      <c r="B95" s="92"/>
      <c r="C95" s="92"/>
      <c r="D95" s="92"/>
      <c r="E95" s="92"/>
      <c r="F95" s="92"/>
      <c r="G95" s="92"/>
      <c r="H95" s="92"/>
      <c r="I95" s="92"/>
      <c r="J95" s="93"/>
      <c r="K95" s="93"/>
      <c r="L95" s="93" t="str">
        <f t="shared" si="2"/>
        <v/>
      </c>
      <c r="M95" s="92"/>
    </row>
    <row r="96" spans="1:13" ht="42" customHeight="1" x14ac:dyDescent="0.2">
      <c r="A96" s="92"/>
      <c r="B96" s="92"/>
      <c r="C96" s="92"/>
      <c r="D96" s="92"/>
      <c r="E96" s="92"/>
      <c r="F96" s="92"/>
      <c r="G96" s="92"/>
      <c r="H96" s="92"/>
      <c r="I96" s="92"/>
      <c r="J96" s="93"/>
      <c r="K96" s="93"/>
      <c r="L96" s="93" t="str">
        <f t="shared" si="2"/>
        <v/>
      </c>
      <c r="M96" s="92"/>
    </row>
    <row r="97" spans="1:13" ht="42" customHeight="1" x14ac:dyDescent="0.2">
      <c r="A97" s="92"/>
      <c r="B97" s="92"/>
      <c r="C97" s="92"/>
      <c r="D97" s="92"/>
      <c r="E97" s="92"/>
      <c r="F97" s="92"/>
      <c r="G97" s="92"/>
      <c r="H97" s="92"/>
      <c r="I97" s="92"/>
      <c r="J97" s="93"/>
      <c r="K97" s="93"/>
      <c r="L97" s="93" t="str">
        <f t="shared" si="2"/>
        <v/>
      </c>
      <c r="M97" s="92"/>
    </row>
    <row r="98" spans="1:13" ht="42" customHeight="1" x14ac:dyDescent="0.2">
      <c r="A98" s="92"/>
      <c r="B98" s="92"/>
      <c r="C98" s="92"/>
      <c r="D98" s="92"/>
      <c r="E98" s="92"/>
      <c r="F98" s="92"/>
      <c r="G98" s="92"/>
      <c r="H98" s="92"/>
      <c r="I98" s="92"/>
      <c r="J98" s="93"/>
      <c r="K98" s="93"/>
      <c r="L98" s="93" t="str">
        <f t="shared" si="2"/>
        <v/>
      </c>
      <c r="M98" s="92"/>
    </row>
    <row r="99" spans="1:13" ht="42" customHeight="1" x14ac:dyDescent="0.2">
      <c r="A99" s="92"/>
      <c r="B99" s="92"/>
      <c r="C99" s="92"/>
      <c r="D99" s="92"/>
      <c r="E99" s="92"/>
      <c r="F99" s="92"/>
      <c r="G99" s="92"/>
      <c r="H99" s="92"/>
      <c r="I99" s="92"/>
      <c r="J99" s="93"/>
      <c r="K99" s="93"/>
      <c r="L99" s="93" t="str">
        <f t="shared" si="2"/>
        <v/>
      </c>
      <c r="M99" s="92"/>
    </row>
    <row r="100" spans="1:13" ht="42" customHeight="1" x14ac:dyDescent="0.2">
      <c r="A100" s="92"/>
      <c r="B100" s="92"/>
      <c r="C100" s="92"/>
      <c r="D100" s="92"/>
      <c r="E100" s="92"/>
      <c r="F100" s="92"/>
      <c r="G100" s="92"/>
      <c r="H100" s="92"/>
      <c r="I100" s="92"/>
      <c r="J100" s="93"/>
      <c r="K100" s="93"/>
      <c r="L100" s="93" t="str">
        <f t="shared" si="2"/>
        <v/>
      </c>
      <c r="M100" s="92"/>
    </row>
    <row r="101" spans="1:13" ht="42" customHeight="1" x14ac:dyDescent="0.2">
      <c r="A101" s="92"/>
      <c r="B101" s="92"/>
      <c r="C101" s="92"/>
      <c r="D101" s="92"/>
      <c r="E101" s="92"/>
      <c r="F101" s="92"/>
      <c r="G101" s="92"/>
      <c r="H101" s="92"/>
      <c r="I101" s="92"/>
      <c r="J101" s="93"/>
      <c r="K101" s="93"/>
      <c r="L101" s="93" t="str">
        <f t="shared" si="2"/>
        <v/>
      </c>
      <c r="M101" s="92"/>
    </row>
    <row r="102" spans="1:13" ht="42" customHeight="1" x14ac:dyDescent="0.2">
      <c r="A102" s="92"/>
      <c r="B102" s="92"/>
      <c r="C102" s="92"/>
      <c r="D102" s="92"/>
      <c r="E102" s="92"/>
      <c r="F102" s="92"/>
      <c r="G102" s="92"/>
      <c r="H102" s="92"/>
      <c r="I102" s="92"/>
      <c r="J102" s="93"/>
      <c r="K102" s="93"/>
      <c r="L102" s="93" t="str">
        <f t="shared" si="2"/>
        <v/>
      </c>
      <c r="M102" s="92"/>
    </row>
    <row r="103" spans="1:13" ht="42" customHeight="1" x14ac:dyDescent="0.2">
      <c r="A103" s="92"/>
      <c r="B103" s="92"/>
      <c r="C103" s="92"/>
      <c r="D103" s="92"/>
      <c r="E103" s="92"/>
      <c r="F103" s="92"/>
      <c r="G103" s="92"/>
      <c r="H103" s="92"/>
      <c r="I103" s="92"/>
      <c r="J103" s="93"/>
      <c r="K103" s="93"/>
      <c r="L103" s="93" t="str">
        <f t="shared" ref="L103:L106" si="3">IF(OR(J103="",K103=""),"",MAX(J103-K103,0))</f>
        <v/>
      </c>
      <c r="M103" s="92"/>
    </row>
    <row r="104" spans="1:13" ht="42" customHeight="1" x14ac:dyDescent="0.2">
      <c r="A104" s="92"/>
      <c r="B104" s="92"/>
      <c r="C104" s="92"/>
      <c r="D104" s="92"/>
      <c r="E104" s="92"/>
      <c r="F104" s="92"/>
      <c r="G104" s="92"/>
      <c r="H104" s="92"/>
      <c r="I104" s="92"/>
      <c r="J104" s="93"/>
      <c r="K104" s="93"/>
      <c r="L104" s="93" t="str">
        <f t="shared" si="3"/>
        <v/>
      </c>
      <c r="M104" s="92"/>
    </row>
    <row r="105" spans="1:13" ht="42" customHeight="1" x14ac:dyDescent="0.2">
      <c r="A105" s="92"/>
      <c r="B105" s="92"/>
      <c r="C105" s="92"/>
      <c r="D105" s="92"/>
      <c r="E105" s="92"/>
      <c r="F105" s="92"/>
      <c r="G105" s="92"/>
      <c r="H105" s="92"/>
      <c r="I105" s="92"/>
      <c r="J105" s="93"/>
      <c r="K105" s="93"/>
      <c r="L105" s="93" t="str">
        <f t="shared" si="3"/>
        <v/>
      </c>
      <c r="M105" s="92"/>
    </row>
    <row r="106" spans="1:13" ht="42" customHeight="1" x14ac:dyDescent="0.2">
      <c r="A106" s="92"/>
      <c r="B106" s="92"/>
      <c r="C106" s="92"/>
      <c r="D106" s="92"/>
      <c r="E106" s="92"/>
      <c r="F106" s="92"/>
      <c r="G106" s="92"/>
      <c r="H106" s="92"/>
      <c r="I106" s="92"/>
      <c r="J106" s="93"/>
      <c r="K106" s="93"/>
      <c r="L106" s="93" t="str">
        <f t="shared" si="3"/>
        <v/>
      </c>
      <c r="M106" s="92"/>
    </row>
  </sheetData>
  <conditionalFormatting sqref="I7:I106">
    <cfRule type="containsText" dxfId="5" priority="1" operator="containsText" text="Bloqueado"/>
  </conditionalFormatting>
  <dataValidations count="1">
    <dataValidation type="list" sqref="I7:I106" xr:uid="{00000000-0002-0000-0D00-000000000000}">
      <formula1>"Previsto,En curso,Realizado,Bloqueado"</formula1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10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J6" sqref="J6:J8"/>
    </sheetView>
  </sheetViews>
  <sheetFormatPr baseColWidth="10" defaultColWidth="8.83203125" defaultRowHeight="15" x14ac:dyDescent="0.2"/>
  <cols>
    <col min="1" max="1" width="14" customWidth="1"/>
    <col min="2" max="2" width="18" customWidth="1"/>
    <col min="3" max="3" width="14" customWidth="1"/>
    <col min="4" max="5" width="17" customWidth="1"/>
    <col min="6" max="6" width="20" customWidth="1"/>
    <col min="7" max="7" width="22" customWidth="1"/>
    <col min="8" max="8" width="19" customWidth="1"/>
    <col min="9" max="9" width="21" customWidth="1"/>
    <col min="10" max="10" width="30" customWidth="1"/>
    <col min="11" max="11" width="20" customWidth="1"/>
    <col min="12" max="12" width="38" customWidth="1"/>
  </cols>
  <sheetData>
    <row r="1" spans="1:12" x14ac:dyDescent="0.2">
      <c r="A1" s="89"/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</row>
    <row r="2" spans="1:12" ht="28" customHeight="1" x14ac:dyDescent="0.2">
      <c r="A2" s="81" t="s">
        <v>321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</row>
    <row r="3" spans="1:12" ht="224" x14ac:dyDescent="0.2">
      <c r="A3" s="82" t="s">
        <v>322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</row>
    <row r="4" spans="1:12" x14ac:dyDescent="0.2">
      <c r="A4" s="89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</row>
    <row r="5" spans="1:12" ht="65" x14ac:dyDescent="0.2">
      <c r="A5" s="90" t="s">
        <v>291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</row>
    <row r="6" spans="1:12" ht="40" customHeight="1" x14ac:dyDescent="0.2">
      <c r="A6" s="91" t="s">
        <v>293</v>
      </c>
      <c r="B6" s="91" t="s">
        <v>323</v>
      </c>
      <c r="C6" s="91" t="s">
        <v>324</v>
      </c>
      <c r="D6" s="91" t="s">
        <v>325</v>
      </c>
      <c r="E6" s="91" t="s">
        <v>317</v>
      </c>
      <c r="F6" s="91" t="s">
        <v>326</v>
      </c>
      <c r="G6" s="91" t="s">
        <v>327</v>
      </c>
      <c r="H6" s="91" t="s">
        <v>328</v>
      </c>
      <c r="I6" s="91" t="s">
        <v>329</v>
      </c>
      <c r="J6" s="91" t="s">
        <v>330</v>
      </c>
      <c r="K6" s="91" t="s">
        <v>268</v>
      </c>
      <c r="L6" s="91" t="s">
        <v>302</v>
      </c>
    </row>
    <row r="7" spans="1:12" ht="42" customHeight="1" x14ac:dyDescent="0.2">
      <c r="A7" s="92" t="s">
        <v>260</v>
      </c>
      <c r="B7" s="92" t="s">
        <v>264</v>
      </c>
      <c r="C7" s="92" t="s">
        <v>184</v>
      </c>
      <c r="D7" s="92" t="s">
        <v>331</v>
      </c>
      <c r="E7" s="92" t="s">
        <v>331</v>
      </c>
      <c r="F7" s="92" t="s">
        <v>192</v>
      </c>
      <c r="G7" s="92" t="s">
        <v>192</v>
      </c>
      <c r="H7" s="92" t="s">
        <v>192</v>
      </c>
      <c r="I7" s="92" t="s">
        <v>192</v>
      </c>
      <c r="J7" s="92" t="s">
        <v>332</v>
      </c>
      <c r="K7" s="96" t="str">
        <f t="shared" ref="K7:K38" si="0">IF(C7="","",IF(COUNTIF(D7:I7,"Cumple")=6,IF(J7="","Falta evidencia","Cumple DoD"),"Pendiente"))</f>
        <v>Pendiente</v>
      </c>
      <c r="L7" s="92" t="s">
        <v>333</v>
      </c>
    </row>
    <row r="8" spans="1:12" ht="42" customHeight="1" x14ac:dyDescent="0.2">
      <c r="A8" s="92" t="s">
        <v>260</v>
      </c>
      <c r="B8" s="92" t="s">
        <v>334</v>
      </c>
      <c r="C8" s="92" t="s">
        <v>184</v>
      </c>
      <c r="D8" s="92" t="s">
        <v>331</v>
      </c>
      <c r="E8" s="92" t="s">
        <v>331</v>
      </c>
      <c r="F8" s="92" t="s">
        <v>331</v>
      </c>
      <c r="G8" s="92" t="s">
        <v>331</v>
      </c>
      <c r="H8" s="92" t="s">
        <v>331</v>
      </c>
      <c r="I8" s="92" t="s">
        <v>331</v>
      </c>
      <c r="J8" s="92" t="s">
        <v>335</v>
      </c>
      <c r="K8" s="96" t="str">
        <f t="shared" si="0"/>
        <v>Cumple DoD</v>
      </c>
      <c r="L8" s="92" t="s">
        <v>336</v>
      </c>
    </row>
    <row r="9" spans="1:12" ht="42" customHeight="1" x14ac:dyDescent="0.2">
      <c r="A9" s="92"/>
      <c r="B9" s="92"/>
      <c r="C9" s="92"/>
      <c r="D9" s="92"/>
      <c r="E9" s="92"/>
      <c r="F9" s="92"/>
      <c r="G9" s="92"/>
      <c r="H9" s="92"/>
      <c r="I9" s="92"/>
      <c r="J9" s="92"/>
      <c r="K9" s="96" t="str">
        <f t="shared" si="0"/>
        <v/>
      </c>
      <c r="L9" s="92"/>
    </row>
    <row r="10" spans="1:12" ht="42" customHeight="1" x14ac:dyDescent="0.2">
      <c r="A10" s="92"/>
      <c r="B10" s="92"/>
      <c r="C10" s="92"/>
      <c r="D10" s="92"/>
      <c r="E10" s="92"/>
      <c r="F10" s="92"/>
      <c r="G10" s="92"/>
      <c r="H10" s="92"/>
      <c r="I10" s="92"/>
      <c r="J10" s="92"/>
      <c r="K10" s="96" t="str">
        <f t="shared" si="0"/>
        <v/>
      </c>
      <c r="L10" s="92"/>
    </row>
    <row r="11" spans="1:12" ht="42" customHeight="1" x14ac:dyDescent="0.2">
      <c r="A11" s="92"/>
      <c r="B11" s="92"/>
      <c r="C11" s="92"/>
      <c r="D11" s="92"/>
      <c r="E11" s="92"/>
      <c r="F11" s="92"/>
      <c r="G11" s="92"/>
      <c r="H11" s="92"/>
      <c r="I11" s="92"/>
      <c r="J11" s="92"/>
      <c r="K11" s="96" t="str">
        <f t="shared" si="0"/>
        <v/>
      </c>
      <c r="L11" s="92"/>
    </row>
    <row r="12" spans="1:12" ht="42" customHeight="1" x14ac:dyDescent="0.2">
      <c r="A12" s="92"/>
      <c r="B12" s="92"/>
      <c r="C12" s="92"/>
      <c r="D12" s="92"/>
      <c r="E12" s="92"/>
      <c r="F12" s="92"/>
      <c r="G12" s="92"/>
      <c r="H12" s="92"/>
      <c r="I12" s="92"/>
      <c r="J12" s="92"/>
      <c r="K12" s="96" t="str">
        <f t="shared" si="0"/>
        <v/>
      </c>
      <c r="L12" s="92"/>
    </row>
    <row r="13" spans="1:12" ht="42" customHeight="1" x14ac:dyDescent="0.2">
      <c r="A13" s="92"/>
      <c r="B13" s="92"/>
      <c r="C13" s="92"/>
      <c r="D13" s="92"/>
      <c r="E13" s="92"/>
      <c r="F13" s="92"/>
      <c r="G13" s="92"/>
      <c r="H13" s="92"/>
      <c r="I13" s="92"/>
      <c r="J13" s="92"/>
      <c r="K13" s="96" t="str">
        <f t="shared" si="0"/>
        <v/>
      </c>
      <c r="L13" s="92"/>
    </row>
    <row r="14" spans="1:12" ht="42" customHeight="1" x14ac:dyDescent="0.2">
      <c r="A14" s="92"/>
      <c r="B14" s="92"/>
      <c r="C14" s="92"/>
      <c r="D14" s="92"/>
      <c r="E14" s="92"/>
      <c r="F14" s="92"/>
      <c r="G14" s="92"/>
      <c r="H14" s="92"/>
      <c r="I14" s="92"/>
      <c r="J14" s="92"/>
      <c r="K14" s="96" t="str">
        <f t="shared" si="0"/>
        <v/>
      </c>
      <c r="L14" s="92"/>
    </row>
    <row r="15" spans="1:12" ht="42" customHeight="1" x14ac:dyDescent="0.2">
      <c r="A15" s="92"/>
      <c r="B15" s="92"/>
      <c r="C15" s="92"/>
      <c r="D15" s="92"/>
      <c r="E15" s="92"/>
      <c r="F15" s="92"/>
      <c r="G15" s="92"/>
      <c r="H15" s="92"/>
      <c r="I15" s="92"/>
      <c r="J15" s="92"/>
      <c r="K15" s="96" t="str">
        <f t="shared" si="0"/>
        <v/>
      </c>
      <c r="L15" s="92"/>
    </row>
    <row r="16" spans="1:12" ht="42" customHeight="1" x14ac:dyDescent="0.2">
      <c r="A16" s="92"/>
      <c r="B16" s="92"/>
      <c r="C16" s="92"/>
      <c r="D16" s="92"/>
      <c r="E16" s="92"/>
      <c r="F16" s="92"/>
      <c r="G16" s="92"/>
      <c r="H16" s="92"/>
      <c r="I16" s="92"/>
      <c r="J16" s="92"/>
      <c r="K16" s="96" t="str">
        <f t="shared" si="0"/>
        <v/>
      </c>
      <c r="L16" s="92"/>
    </row>
    <row r="17" spans="1:12" ht="42" customHeight="1" x14ac:dyDescent="0.2">
      <c r="A17" s="92"/>
      <c r="B17" s="92"/>
      <c r="C17" s="92"/>
      <c r="D17" s="92"/>
      <c r="E17" s="92"/>
      <c r="F17" s="92"/>
      <c r="G17" s="92"/>
      <c r="H17" s="92"/>
      <c r="I17" s="92"/>
      <c r="J17" s="92"/>
      <c r="K17" s="96" t="str">
        <f t="shared" si="0"/>
        <v/>
      </c>
      <c r="L17" s="92"/>
    </row>
    <row r="18" spans="1:12" ht="42" customHeight="1" x14ac:dyDescent="0.2">
      <c r="A18" s="92"/>
      <c r="B18" s="92"/>
      <c r="C18" s="92"/>
      <c r="D18" s="92"/>
      <c r="E18" s="92"/>
      <c r="F18" s="92"/>
      <c r="G18" s="92"/>
      <c r="H18" s="92"/>
      <c r="I18" s="92"/>
      <c r="J18" s="92"/>
      <c r="K18" s="96" t="str">
        <f t="shared" si="0"/>
        <v/>
      </c>
      <c r="L18" s="92"/>
    </row>
    <row r="19" spans="1:12" ht="42" customHeight="1" x14ac:dyDescent="0.2">
      <c r="A19" s="92"/>
      <c r="B19" s="92"/>
      <c r="C19" s="92"/>
      <c r="D19" s="92"/>
      <c r="E19" s="92"/>
      <c r="F19" s="92"/>
      <c r="G19" s="92"/>
      <c r="H19" s="92"/>
      <c r="I19" s="92"/>
      <c r="J19" s="92"/>
      <c r="K19" s="96" t="str">
        <f t="shared" si="0"/>
        <v/>
      </c>
      <c r="L19" s="92"/>
    </row>
    <row r="20" spans="1:12" ht="42" customHeight="1" x14ac:dyDescent="0.2">
      <c r="A20" s="92"/>
      <c r="B20" s="92"/>
      <c r="C20" s="92"/>
      <c r="D20" s="92"/>
      <c r="E20" s="92"/>
      <c r="F20" s="92"/>
      <c r="G20" s="92"/>
      <c r="H20" s="92"/>
      <c r="I20" s="92"/>
      <c r="J20" s="92"/>
      <c r="K20" s="96" t="str">
        <f t="shared" si="0"/>
        <v/>
      </c>
      <c r="L20" s="92"/>
    </row>
    <row r="21" spans="1:12" ht="42" customHeight="1" x14ac:dyDescent="0.2">
      <c r="A21" s="92"/>
      <c r="B21" s="92"/>
      <c r="C21" s="92"/>
      <c r="D21" s="92"/>
      <c r="E21" s="92"/>
      <c r="F21" s="92"/>
      <c r="G21" s="92"/>
      <c r="H21" s="92"/>
      <c r="I21" s="92"/>
      <c r="J21" s="92"/>
      <c r="K21" s="96" t="str">
        <f t="shared" si="0"/>
        <v/>
      </c>
      <c r="L21" s="92"/>
    </row>
    <row r="22" spans="1:12" ht="42" customHeight="1" x14ac:dyDescent="0.2">
      <c r="A22" s="92"/>
      <c r="B22" s="92"/>
      <c r="C22" s="92"/>
      <c r="D22" s="92"/>
      <c r="E22" s="92"/>
      <c r="F22" s="92"/>
      <c r="G22" s="92"/>
      <c r="H22" s="92"/>
      <c r="I22" s="92"/>
      <c r="J22" s="92"/>
      <c r="K22" s="96" t="str">
        <f t="shared" si="0"/>
        <v/>
      </c>
      <c r="L22" s="92"/>
    </row>
    <row r="23" spans="1:12" ht="42" customHeight="1" x14ac:dyDescent="0.2">
      <c r="A23" s="92"/>
      <c r="B23" s="92"/>
      <c r="C23" s="92"/>
      <c r="D23" s="92"/>
      <c r="E23" s="92"/>
      <c r="F23" s="92"/>
      <c r="G23" s="92"/>
      <c r="H23" s="92"/>
      <c r="I23" s="92"/>
      <c r="J23" s="92"/>
      <c r="K23" s="96" t="str">
        <f t="shared" si="0"/>
        <v/>
      </c>
      <c r="L23" s="92"/>
    </row>
    <row r="24" spans="1:12" ht="42" customHeight="1" x14ac:dyDescent="0.2">
      <c r="A24" s="92"/>
      <c r="B24" s="92"/>
      <c r="C24" s="92"/>
      <c r="D24" s="92"/>
      <c r="E24" s="92"/>
      <c r="F24" s="92"/>
      <c r="G24" s="92"/>
      <c r="H24" s="92"/>
      <c r="I24" s="92"/>
      <c r="J24" s="92"/>
      <c r="K24" s="96" t="str">
        <f t="shared" si="0"/>
        <v/>
      </c>
      <c r="L24" s="92"/>
    </row>
    <row r="25" spans="1:12" ht="42" customHeight="1" x14ac:dyDescent="0.2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96" t="str">
        <f t="shared" si="0"/>
        <v/>
      </c>
      <c r="L25" s="92"/>
    </row>
    <row r="26" spans="1:12" ht="42" customHeight="1" x14ac:dyDescent="0.2">
      <c r="A26" s="92"/>
      <c r="B26" s="92"/>
      <c r="C26" s="92"/>
      <c r="D26" s="92"/>
      <c r="E26" s="92"/>
      <c r="F26" s="92"/>
      <c r="G26" s="92"/>
      <c r="H26" s="92"/>
      <c r="I26" s="92"/>
      <c r="J26" s="92"/>
      <c r="K26" s="96" t="str">
        <f t="shared" si="0"/>
        <v/>
      </c>
      <c r="L26" s="92"/>
    </row>
    <row r="27" spans="1:12" ht="42" customHeight="1" x14ac:dyDescent="0.2">
      <c r="A27" s="92"/>
      <c r="B27" s="92"/>
      <c r="C27" s="92"/>
      <c r="D27" s="92"/>
      <c r="E27" s="92"/>
      <c r="F27" s="92"/>
      <c r="G27" s="92"/>
      <c r="H27" s="92"/>
      <c r="I27" s="92"/>
      <c r="J27" s="92"/>
      <c r="K27" s="96" t="str">
        <f t="shared" si="0"/>
        <v/>
      </c>
      <c r="L27" s="92"/>
    </row>
    <row r="28" spans="1:12" ht="42" customHeight="1" x14ac:dyDescent="0.2">
      <c r="A28" s="92"/>
      <c r="B28" s="92"/>
      <c r="C28" s="92"/>
      <c r="D28" s="92"/>
      <c r="E28" s="92"/>
      <c r="F28" s="92"/>
      <c r="G28" s="92"/>
      <c r="H28" s="92"/>
      <c r="I28" s="92"/>
      <c r="J28" s="92"/>
      <c r="K28" s="96" t="str">
        <f t="shared" si="0"/>
        <v/>
      </c>
      <c r="L28" s="92"/>
    </row>
    <row r="29" spans="1:12" ht="42" customHeight="1" x14ac:dyDescent="0.2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96" t="str">
        <f t="shared" si="0"/>
        <v/>
      </c>
      <c r="L29" s="92"/>
    </row>
    <row r="30" spans="1:12" ht="42" customHeight="1" x14ac:dyDescent="0.2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6" t="str">
        <f t="shared" si="0"/>
        <v/>
      </c>
      <c r="L30" s="92"/>
    </row>
    <row r="31" spans="1:12" ht="42" customHeight="1" x14ac:dyDescent="0.2">
      <c r="A31" s="92"/>
      <c r="B31" s="92"/>
      <c r="C31" s="92"/>
      <c r="D31" s="92"/>
      <c r="E31" s="92"/>
      <c r="F31" s="92"/>
      <c r="G31" s="92"/>
      <c r="H31" s="92"/>
      <c r="I31" s="92"/>
      <c r="J31" s="92"/>
      <c r="K31" s="96" t="str">
        <f t="shared" si="0"/>
        <v/>
      </c>
      <c r="L31" s="92"/>
    </row>
    <row r="32" spans="1:12" ht="42" customHeight="1" x14ac:dyDescent="0.2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6" t="str">
        <f t="shared" si="0"/>
        <v/>
      </c>
      <c r="L32" s="92"/>
    </row>
    <row r="33" spans="1:12" ht="42" customHeight="1" x14ac:dyDescent="0.2">
      <c r="A33" s="92"/>
      <c r="B33" s="92"/>
      <c r="C33" s="92"/>
      <c r="D33" s="92"/>
      <c r="E33" s="92"/>
      <c r="F33" s="92"/>
      <c r="G33" s="92"/>
      <c r="H33" s="92"/>
      <c r="I33" s="92"/>
      <c r="J33" s="92"/>
      <c r="K33" s="96" t="str">
        <f t="shared" si="0"/>
        <v/>
      </c>
      <c r="L33" s="92"/>
    </row>
    <row r="34" spans="1:12" ht="42" customHeight="1" x14ac:dyDescent="0.2">
      <c r="A34" s="92"/>
      <c r="B34" s="92"/>
      <c r="C34" s="92"/>
      <c r="D34" s="92"/>
      <c r="E34" s="92"/>
      <c r="F34" s="92"/>
      <c r="G34" s="92"/>
      <c r="H34" s="92"/>
      <c r="I34" s="92"/>
      <c r="J34" s="92"/>
      <c r="K34" s="96" t="str">
        <f t="shared" si="0"/>
        <v/>
      </c>
      <c r="L34" s="92"/>
    </row>
    <row r="35" spans="1:12" ht="42" customHeight="1" x14ac:dyDescent="0.2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6" t="str">
        <f t="shared" si="0"/>
        <v/>
      </c>
      <c r="L35" s="92"/>
    </row>
    <row r="36" spans="1:12" ht="42" customHeight="1" x14ac:dyDescent="0.2">
      <c r="A36" s="92"/>
      <c r="B36" s="92"/>
      <c r="C36" s="92"/>
      <c r="D36" s="92"/>
      <c r="E36" s="92"/>
      <c r="F36" s="92"/>
      <c r="G36" s="92"/>
      <c r="H36" s="92"/>
      <c r="I36" s="92"/>
      <c r="J36" s="92"/>
      <c r="K36" s="96" t="str">
        <f t="shared" si="0"/>
        <v/>
      </c>
      <c r="L36" s="92"/>
    </row>
    <row r="37" spans="1:12" ht="42" customHeight="1" x14ac:dyDescent="0.2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6" t="str">
        <f t="shared" si="0"/>
        <v/>
      </c>
      <c r="L37" s="92"/>
    </row>
    <row r="38" spans="1:12" ht="42" customHeight="1" x14ac:dyDescent="0.2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6" t="str">
        <f t="shared" si="0"/>
        <v/>
      </c>
      <c r="L38" s="92"/>
    </row>
    <row r="39" spans="1:12" ht="42" customHeight="1" x14ac:dyDescent="0.2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6" t="str">
        <f t="shared" ref="K39:K70" si="1">IF(C39="","",IF(COUNTIF(D39:I39,"Cumple")=6,IF(J39="","Falta evidencia","Cumple DoD"),"Pendiente"))</f>
        <v/>
      </c>
      <c r="L39" s="92"/>
    </row>
    <row r="40" spans="1:12" ht="42" customHeight="1" x14ac:dyDescent="0.2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6" t="str">
        <f t="shared" si="1"/>
        <v/>
      </c>
      <c r="L40" s="92"/>
    </row>
    <row r="41" spans="1:12" ht="42" customHeight="1" x14ac:dyDescent="0.2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6" t="str">
        <f t="shared" si="1"/>
        <v/>
      </c>
      <c r="L41" s="92"/>
    </row>
    <row r="42" spans="1:12" ht="42" customHeight="1" x14ac:dyDescent="0.2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6" t="str">
        <f t="shared" si="1"/>
        <v/>
      </c>
      <c r="L42" s="92"/>
    </row>
    <row r="43" spans="1:12" ht="42" customHeight="1" x14ac:dyDescent="0.2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6" t="str">
        <f t="shared" si="1"/>
        <v/>
      </c>
      <c r="L43" s="92"/>
    </row>
    <row r="44" spans="1:12" ht="42" customHeight="1" x14ac:dyDescent="0.2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6" t="str">
        <f t="shared" si="1"/>
        <v/>
      </c>
      <c r="L44" s="92"/>
    </row>
    <row r="45" spans="1:12" ht="42" customHeight="1" x14ac:dyDescent="0.2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6" t="str">
        <f t="shared" si="1"/>
        <v/>
      </c>
      <c r="L45" s="92"/>
    </row>
    <row r="46" spans="1:12" ht="42" customHeight="1" x14ac:dyDescent="0.2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6" t="str">
        <f t="shared" si="1"/>
        <v/>
      </c>
      <c r="L46" s="92"/>
    </row>
    <row r="47" spans="1:12" ht="42" customHeight="1" x14ac:dyDescent="0.2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6" t="str">
        <f t="shared" si="1"/>
        <v/>
      </c>
      <c r="L47" s="92"/>
    </row>
    <row r="48" spans="1:12" ht="42" customHeight="1" x14ac:dyDescent="0.2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6" t="str">
        <f t="shared" si="1"/>
        <v/>
      </c>
      <c r="L48" s="92"/>
    </row>
    <row r="49" spans="1:12" ht="42" customHeight="1" x14ac:dyDescent="0.2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6" t="str">
        <f t="shared" si="1"/>
        <v/>
      </c>
      <c r="L49" s="92"/>
    </row>
    <row r="50" spans="1:12" ht="42" customHeight="1" x14ac:dyDescent="0.2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6" t="str">
        <f t="shared" si="1"/>
        <v/>
      </c>
      <c r="L50" s="92"/>
    </row>
    <row r="51" spans="1:12" ht="42" customHeight="1" x14ac:dyDescent="0.2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6" t="str">
        <f t="shared" si="1"/>
        <v/>
      </c>
      <c r="L51" s="92"/>
    </row>
    <row r="52" spans="1:12" ht="42" customHeight="1" x14ac:dyDescent="0.2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6" t="str">
        <f t="shared" si="1"/>
        <v/>
      </c>
      <c r="L52" s="92"/>
    </row>
    <row r="53" spans="1:12" ht="42" customHeight="1" x14ac:dyDescent="0.2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6" t="str">
        <f t="shared" si="1"/>
        <v/>
      </c>
      <c r="L53" s="92"/>
    </row>
    <row r="54" spans="1:12" ht="42" customHeight="1" x14ac:dyDescent="0.2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6" t="str">
        <f t="shared" si="1"/>
        <v/>
      </c>
      <c r="L54" s="92"/>
    </row>
    <row r="55" spans="1:12" ht="42" customHeight="1" x14ac:dyDescent="0.2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6" t="str">
        <f t="shared" si="1"/>
        <v/>
      </c>
      <c r="L55" s="92"/>
    </row>
    <row r="56" spans="1:12" ht="42" customHeight="1" x14ac:dyDescent="0.2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6" t="str">
        <f t="shared" si="1"/>
        <v/>
      </c>
      <c r="L56" s="92"/>
    </row>
    <row r="57" spans="1:12" ht="42" customHeight="1" x14ac:dyDescent="0.2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6" t="str">
        <f t="shared" si="1"/>
        <v/>
      </c>
      <c r="L57" s="92"/>
    </row>
    <row r="58" spans="1:12" ht="42" customHeight="1" x14ac:dyDescent="0.2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6" t="str">
        <f t="shared" si="1"/>
        <v/>
      </c>
      <c r="L58" s="92"/>
    </row>
    <row r="59" spans="1:12" ht="42" customHeight="1" x14ac:dyDescent="0.2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6" t="str">
        <f t="shared" si="1"/>
        <v/>
      </c>
      <c r="L59" s="92"/>
    </row>
    <row r="60" spans="1:12" ht="42" customHeight="1" x14ac:dyDescent="0.2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6" t="str">
        <f t="shared" si="1"/>
        <v/>
      </c>
      <c r="L60" s="92"/>
    </row>
    <row r="61" spans="1:12" ht="42" customHeight="1" x14ac:dyDescent="0.2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6" t="str">
        <f t="shared" si="1"/>
        <v/>
      </c>
      <c r="L61" s="92"/>
    </row>
    <row r="62" spans="1:12" ht="42" customHeight="1" x14ac:dyDescent="0.2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6" t="str">
        <f t="shared" si="1"/>
        <v/>
      </c>
      <c r="L62" s="92"/>
    </row>
    <row r="63" spans="1:12" ht="42" customHeight="1" x14ac:dyDescent="0.2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6" t="str">
        <f t="shared" si="1"/>
        <v/>
      </c>
      <c r="L63" s="92"/>
    </row>
    <row r="64" spans="1:12" ht="42" customHeight="1" x14ac:dyDescent="0.2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6" t="str">
        <f t="shared" si="1"/>
        <v/>
      </c>
      <c r="L64" s="92"/>
    </row>
    <row r="65" spans="1:12" ht="42" customHeight="1" x14ac:dyDescent="0.2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6" t="str">
        <f t="shared" si="1"/>
        <v/>
      </c>
      <c r="L65" s="92"/>
    </row>
    <row r="66" spans="1:12" ht="42" customHeight="1" x14ac:dyDescent="0.2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6" t="str">
        <f t="shared" si="1"/>
        <v/>
      </c>
      <c r="L66" s="92"/>
    </row>
    <row r="67" spans="1:12" ht="42" customHeight="1" x14ac:dyDescent="0.2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6" t="str">
        <f t="shared" si="1"/>
        <v/>
      </c>
      <c r="L67" s="92"/>
    </row>
    <row r="68" spans="1:12" ht="42" customHeight="1" x14ac:dyDescent="0.2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6" t="str">
        <f t="shared" si="1"/>
        <v/>
      </c>
      <c r="L68" s="92"/>
    </row>
    <row r="69" spans="1:12" ht="42" customHeight="1" x14ac:dyDescent="0.2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6" t="str">
        <f t="shared" si="1"/>
        <v/>
      </c>
      <c r="L69" s="92"/>
    </row>
    <row r="70" spans="1:12" ht="42" customHeight="1" x14ac:dyDescent="0.2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6" t="str">
        <f t="shared" si="1"/>
        <v/>
      </c>
      <c r="L70" s="92"/>
    </row>
    <row r="71" spans="1:12" ht="42" customHeight="1" x14ac:dyDescent="0.2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6" t="str">
        <f t="shared" ref="K71:K102" si="2">IF(C71="","",IF(COUNTIF(D71:I71,"Cumple")=6,IF(J71="","Falta evidencia","Cumple DoD"),"Pendiente"))</f>
        <v/>
      </c>
      <c r="L71" s="92"/>
    </row>
    <row r="72" spans="1:12" ht="42" customHeight="1" x14ac:dyDescent="0.2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6" t="str">
        <f t="shared" si="2"/>
        <v/>
      </c>
      <c r="L72" s="92"/>
    </row>
    <row r="73" spans="1:12" ht="42" customHeight="1" x14ac:dyDescent="0.2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6" t="str">
        <f t="shared" si="2"/>
        <v/>
      </c>
      <c r="L73" s="92"/>
    </row>
    <row r="74" spans="1:12" ht="42" customHeight="1" x14ac:dyDescent="0.2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6" t="str">
        <f t="shared" si="2"/>
        <v/>
      </c>
      <c r="L74" s="92"/>
    </row>
    <row r="75" spans="1:12" ht="42" customHeight="1" x14ac:dyDescent="0.2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6" t="str">
        <f t="shared" si="2"/>
        <v/>
      </c>
      <c r="L75" s="92"/>
    </row>
    <row r="76" spans="1:12" ht="42" customHeight="1" x14ac:dyDescent="0.2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6" t="str">
        <f t="shared" si="2"/>
        <v/>
      </c>
      <c r="L76" s="92"/>
    </row>
    <row r="77" spans="1:12" ht="42" customHeight="1" x14ac:dyDescent="0.2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6" t="str">
        <f t="shared" si="2"/>
        <v/>
      </c>
      <c r="L77" s="92"/>
    </row>
    <row r="78" spans="1:12" ht="42" customHeight="1" x14ac:dyDescent="0.2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6" t="str">
        <f t="shared" si="2"/>
        <v/>
      </c>
      <c r="L78" s="92"/>
    </row>
    <row r="79" spans="1:12" ht="42" customHeight="1" x14ac:dyDescent="0.2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6" t="str">
        <f t="shared" si="2"/>
        <v/>
      </c>
      <c r="L79" s="92"/>
    </row>
    <row r="80" spans="1:12" ht="42" customHeight="1" x14ac:dyDescent="0.2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6" t="str">
        <f t="shared" si="2"/>
        <v/>
      </c>
      <c r="L80" s="92"/>
    </row>
    <row r="81" spans="1:12" ht="42" customHeight="1" x14ac:dyDescent="0.2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6" t="str">
        <f t="shared" si="2"/>
        <v/>
      </c>
      <c r="L81" s="92"/>
    </row>
    <row r="82" spans="1:12" ht="42" customHeight="1" x14ac:dyDescent="0.2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6" t="str">
        <f t="shared" si="2"/>
        <v/>
      </c>
      <c r="L82" s="92"/>
    </row>
    <row r="83" spans="1:12" ht="42" customHeight="1" x14ac:dyDescent="0.2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6" t="str">
        <f t="shared" si="2"/>
        <v/>
      </c>
      <c r="L83" s="92"/>
    </row>
    <row r="84" spans="1:12" ht="42" customHeight="1" x14ac:dyDescent="0.2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6" t="str">
        <f t="shared" si="2"/>
        <v/>
      </c>
      <c r="L84" s="92"/>
    </row>
    <row r="85" spans="1:12" ht="42" customHeight="1" x14ac:dyDescent="0.2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6" t="str">
        <f t="shared" si="2"/>
        <v/>
      </c>
      <c r="L85" s="92"/>
    </row>
    <row r="86" spans="1:12" ht="42" customHeight="1" x14ac:dyDescent="0.2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6" t="str">
        <f t="shared" si="2"/>
        <v/>
      </c>
      <c r="L86" s="92"/>
    </row>
    <row r="87" spans="1:12" ht="42" customHeight="1" x14ac:dyDescent="0.2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6" t="str">
        <f t="shared" si="2"/>
        <v/>
      </c>
      <c r="L87" s="92"/>
    </row>
    <row r="88" spans="1:12" ht="42" customHeight="1" x14ac:dyDescent="0.2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6" t="str">
        <f t="shared" si="2"/>
        <v/>
      </c>
      <c r="L88" s="92"/>
    </row>
    <row r="89" spans="1:12" ht="42" customHeight="1" x14ac:dyDescent="0.2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6" t="str">
        <f t="shared" si="2"/>
        <v/>
      </c>
      <c r="L89" s="92"/>
    </row>
    <row r="90" spans="1:12" ht="42" customHeight="1" x14ac:dyDescent="0.2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6" t="str">
        <f t="shared" si="2"/>
        <v/>
      </c>
      <c r="L90" s="92"/>
    </row>
    <row r="91" spans="1:12" ht="42" customHeight="1" x14ac:dyDescent="0.2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6" t="str">
        <f t="shared" si="2"/>
        <v/>
      </c>
      <c r="L91" s="92"/>
    </row>
    <row r="92" spans="1:12" ht="42" customHeight="1" x14ac:dyDescent="0.2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6" t="str">
        <f t="shared" si="2"/>
        <v/>
      </c>
      <c r="L92" s="92"/>
    </row>
    <row r="93" spans="1:12" ht="42" customHeight="1" x14ac:dyDescent="0.2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6" t="str">
        <f t="shared" si="2"/>
        <v/>
      </c>
      <c r="L93" s="92"/>
    </row>
    <row r="94" spans="1:12" ht="42" customHeight="1" x14ac:dyDescent="0.2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6" t="str">
        <f t="shared" si="2"/>
        <v/>
      </c>
      <c r="L94" s="92"/>
    </row>
    <row r="95" spans="1:12" ht="42" customHeight="1" x14ac:dyDescent="0.2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6" t="str">
        <f t="shared" si="2"/>
        <v/>
      </c>
      <c r="L95" s="92"/>
    </row>
    <row r="96" spans="1:12" ht="42" customHeight="1" x14ac:dyDescent="0.2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6" t="str">
        <f t="shared" si="2"/>
        <v/>
      </c>
      <c r="L96" s="92"/>
    </row>
    <row r="97" spans="1:12" ht="42" customHeight="1" x14ac:dyDescent="0.2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6" t="str">
        <f t="shared" si="2"/>
        <v/>
      </c>
      <c r="L97" s="92"/>
    </row>
    <row r="98" spans="1:12" ht="42" customHeight="1" x14ac:dyDescent="0.2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6" t="str">
        <f t="shared" si="2"/>
        <v/>
      </c>
      <c r="L98" s="92"/>
    </row>
    <row r="99" spans="1:12" ht="42" customHeight="1" x14ac:dyDescent="0.2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6" t="str">
        <f t="shared" si="2"/>
        <v/>
      </c>
      <c r="L99" s="92"/>
    </row>
    <row r="100" spans="1:12" ht="42" customHeight="1" x14ac:dyDescent="0.2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6" t="str">
        <f t="shared" si="2"/>
        <v/>
      </c>
      <c r="L100" s="92"/>
    </row>
    <row r="101" spans="1:12" ht="42" customHeight="1" x14ac:dyDescent="0.2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6" t="str">
        <f t="shared" si="2"/>
        <v/>
      </c>
      <c r="L101" s="92"/>
    </row>
    <row r="102" spans="1:12" ht="42" customHeight="1" x14ac:dyDescent="0.2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6" t="str">
        <f t="shared" si="2"/>
        <v/>
      </c>
      <c r="L102" s="92"/>
    </row>
    <row r="103" spans="1:12" ht="42" customHeight="1" x14ac:dyDescent="0.2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6" t="str">
        <f t="shared" ref="K103:K106" si="3">IF(C103="","",IF(COUNTIF(D103:I103,"Cumple")=6,IF(J103="","Falta evidencia","Cumple DoD"),"Pendiente"))</f>
        <v/>
      </c>
      <c r="L103" s="92"/>
    </row>
    <row r="104" spans="1:12" ht="42" customHeight="1" x14ac:dyDescent="0.2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6" t="str">
        <f t="shared" si="3"/>
        <v/>
      </c>
      <c r="L104" s="92"/>
    </row>
    <row r="105" spans="1:12" ht="42" customHeight="1" x14ac:dyDescent="0.2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6" t="str">
        <f t="shared" si="3"/>
        <v/>
      </c>
      <c r="L105" s="92"/>
    </row>
    <row r="106" spans="1:12" ht="42" customHeight="1" x14ac:dyDescent="0.2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6" t="str">
        <f t="shared" si="3"/>
        <v/>
      </c>
      <c r="L106" s="92"/>
    </row>
  </sheetData>
  <conditionalFormatting sqref="D7:I106">
    <cfRule type="containsText" dxfId="4" priority="1" operator="containsText" text="No cumple"/>
  </conditionalFormatting>
  <conditionalFormatting sqref="K7:K106">
    <cfRule type="containsText" dxfId="3" priority="2" operator="containsText" text="Falta evidencia"/>
  </conditionalFormatting>
  <dataValidations count="1">
    <dataValidation type="list" sqref="D7:I106" xr:uid="{00000000-0002-0000-0E00-000000000000}">
      <formula1>"Cumple,No cumple,Pendiente"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106"/>
  <sheetViews>
    <sheetView showGridLines="0" workbookViewId="0">
      <pane xSplit="1" ySplit="6" topLeftCell="B8" activePane="bottomRight" state="frozen"/>
      <selection pane="topRight"/>
      <selection pane="bottomLeft"/>
      <selection pane="bottomRight" activeCell="D12" sqref="D12"/>
    </sheetView>
  </sheetViews>
  <sheetFormatPr baseColWidth="10" defaultColWidth="8.83203125" defaultRowHeight="15" x14ac:dyDescent="0.2"/>
  <cols>
    <col min="1" max="1" width="20" customWidth="1"/>
    <col min="2" max="4" width="14" customWidth="1"/>
    <col min="5" max="6" width="16" customWidth="1"/>
    <col min="7" max="7" width="18" customWidth="1"/>
    <col min="8" max="8" width="20" customWidth="1"/>
    <col min="9" max="9" width="28" customWidth="1"/>
    <col min="10" max="10" width="32" customWidth="1"/>
    <col min="11" max="11" width="34" customWidth="1"/>
    <col min="12" max="13" width="36" customWidth="1"/>
    <col min="14" max="14" width="18" customWidth="1"/>
    <col min="15" max="15" width="14" customWidth="1"/>
    <col min="16" max="16" width="28" customWidth="1"/>
  </cols>
  <sheetData>
    <row r="1" spans="1:16" x14ac:dyDescent="0.2">
      <c r="A1" s="89"/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</row>
    <row r="2" spans="1:16" ht="28" customHeight="1" x14ac:dyDescent="0.2">
      <c r="A2" s="81" t="s">
        <v>337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</row>
    <row r="3" spans="1:16" ht="70" x14ac:dyDescent="0.2">
      <c r="A3" s="82" t="s">
        <v>338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</row>
    <row r="4" spans="1:16" x14ac:dyDescent="0.2">
      <c r="A4" s="89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</row>
    <row r="5" spans="1:16" ht="52" x14ac:dyDescent="0.2">
      <c r="A5" s="90" t="s">
        <v>291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</row>
    <row r="6" spans="1:16" ht="40" customHeight="1" x14ac:dyDescent="0.2">
      <c r="A6" s="91" t="s">
        <v>339</v>
      </c>
      <c r="B6" s="91" t="s">
        <v>293</v>
      </c>
      <c r="C6" s="91" t="s">
        <v>340</v>
      </c>
      <c r="D6" s="91" t="s">
        <v>324</v>
      </c>
      <c r="E6" s="91" t="s">
        <v>341</v>
      </c>
      <c r="F6" s="91" t="s">
        <v>342</v>
      </c>
      <c r="G6" s="91" t="s">
        <v>343</v>
      </c>
      <c r="H6" s="91" t="s">
        <v>344</v>
      </c>
      <c r="I6" s="91" t="s">
        <v>345</v>
      </c>
      <c r="J6" s="91" t="s">
        <v>346</v>
      </c>
      <c r="K6" s="91" t="s">
        <v>347</v>
      </c>
      <c r="L6" s="91" t="s">
        <v>348</v>
      </c>
      <c r="M6" s="91" t="s">
        <v>349</v>
      </c>
      <c r="N6" s="91" t="s">
        <v>268</v>
      </c>
      <c r="O6" s="91" t="s">
        <v>350</v>
      </c>
      <c r="P6" s="91" t="s">
        <v>351</v>
      </c>
    </row>
    <row r="7" spans="1:16" ht="42" customHeight="1" x14ac:dyDescent="0.2">
      <c r="A7" s="92" t="s">
        <v>352</v>
      </c>
      <c r="B7" s="92" t="s">
        <v>260</v>
      </c>
      <c r="C7" s="92" t="s">
        <v>264</v>
      </c>
      <c r="D7" s="92" t="s">
        <v>184</v>
      </c>
      <c r="E7" s="92" t="s">
        <v>353</v>
      </c>
      <c r="F7" s="92" t="s">
        <v>354</v>
      </c>
      <c r="G7" s="92" t="s">
        <v>355</v>
      </c>
      <c r="H7" s="92" t="s">
        <v>356</v>
      </c>
      <c r="I7" s="92" t="s">
        <v>357</v>
      </c>
      <c r="J7" s="92" t="s">
        <v>358</v>
      </c>
      <c r="K7" s="92" t="s">
        <v>359</v>
      </c>
      <c r="L7" s="92" t="s">
        <v>360</v>
      </c>
      <c r="M7" s="92" t="s">
        <v>360</v>
      </c>
      <c r="N7" s="92" t="s">
        <v>361</v>
      </c>
      <c r="O7" s="92"/>
      <c r="P7" s="92" t="s">
        <v>362</v>
      </c>
    </row>
    <row r="8" spans="1:16" ht="42" customHeight="1" x14ac:dyDescent="0.2">
      <c r="A8" s="92" t="s">
        <v>363</v>
      </c>
      <c r="B8" s="92" t="s">
        <v>260</v>
      </c>
      <c r="C8" s="92" t="s">
        <v>264</v>
      </c>
      <c r="D8" s="92" t="s">
        <v>184</v>
      </c>
      <c r="E8" s="92" t="s">
        <v>364</v>
      </c>
      <c r="F8" s="92" t="s">
        <v>365</v>
      </c>
      <c r="G8" s="92" t="s">
        <v>355</v>
      </c>
      <c r="H8" s="92" t="s">
        <v>356</v>
      </c>
      <c r="I8" s="92" t="s">
        <v>357</v>
      </c>
      <c r="J8" s="92" t="s">
        <v>358</v>
      </c>
      <c r="K8" s="92" t="s">
        <v>366</v>
      </c>
      <c r="L8" s="92" t="s">
        <v>367</v>
      </c>
      <c r="M8" s="92" t="s">
        <v>367</v>
      </c>
      <c r="N8" s="92" t="s">
        <v>361</v>
      </c>
      <c r="O8" s="92"/>
      <c r="P8" s="92" t="s">
        <v>362</v>
      </c>
    </row>
    <row r="9" spans="1:16" ht="42" customHeight="1" x14ac:dyDescent="0.2">
      <c r="A9" s="92" t="s">
        <v>368</v>
      </c>
      <c r="B9" s="92" t="s">
        <v>260</v>
      </c>
      <c r="C9" s="92" t="s">
        <v>264</v>
      </c>
      <c r="D9" s="92" t="s">
        <v>184</v>
      </c>
      <c r="E9" s="92" t="s">
        <v>369</v>
      </c>
      <c r="F9" s="92" t="s">
        <v>370</v>
      </c>
      <c r="G9" s="92" t="s">
        <v>355</v>
      </c>
      <c r="H9" s="92" t="s">
        <v>356</v>
      </c>
      <c r="I9" s="92" t="s">
        <v>357</v>
      </c>
      <c r="J9" s="92" t="s">
        <v>358</v>
      </c>
      <c r="K9" s="92" t="s">
        <v>371</v>
      </c>
      <c r="L9" s="92" t="s">
        <v>372</v>
      </c>
      <c r="M9" s="92" t="s">
        <v>373</v>
      </c>
      <c r="N9" s="92" t="s">
        <v>374</v>
      </c>
      <c r="O9" s="92" t="s">
        <v>375</v>
      </c>
      <c r="P9" s="92" t="s">
        <v>362</v>
      </c>
    </row>
    <row r="10" spans="1:16" ht="42" customHeight="1" x14ac:dyDescent="0.2">
      <c r="A10" s="92" t="s">
        <v>376</v>
      </c>
      <c r="B10" s="92" t="s">
        <v>260</v>
      </c>
      <c r="C10" s="92" t="s">
        <v>334</v>
      </c>
      <c r="D10" s="92" t="s">
        <v>184</v>
      </c>
      <c r="E10" s="92" t="s">
        <v>353</v>
      </c>
      <c r="F10" s="92" t="s">
        <v>354</v>
      </c>
      <c r="G10" s="92" t="s">
        <v>355</v>
      </c>
      <c r="H10" s="92" t="s">
        <v>356</v>
      </c>
      <c r="I10" s="92" t="s">
        <v>357</v>
      </c>
      <c r="J10" s="92" t="s">
        <v>358</v>
      </c>
      <c r="K10" s="92" t="s">
        <v>359</v>
      </c>
      <c r="L10" s="92" t="s">
        <v>360</v>
      </c>
      <c r="M10" s="92" t="s">
        <v>360</v>
      </c>
      <c r="N10" s="92" t="s">
        <v>361</v>
      </c>
      <c r="O10" s="92"/>
      <c r="P10" s="92" t="s">
        <v>362</v>
      </c>
    </row>
    <row r="11" spans="1:16" ht="42" customHeight="1" x14ac:dyDescent="0.2">
      <c r="A11" s="92" t="s">
        <v>377</v>
      </c>
      <c r="B11" s="92" t="s">
        <v>260</v>
      </c>
      <c r="C11" s="92" t="s">
        <v>334</v>
      </c>
      <c r="D11" s="92" t="s">
        <v>184</v>
      </c>
      <c r="E11" s="92" t="s">
        <v>364</v>
      </c>
      <c r="F11" s="92" t="s">
        <v>365</v>
      </c>
      <c r="G11" s="92" t="s">
        <v>355</v>
      </c>
      <c r="H11" s="92" t="s">
        <v>356</v>
      </c>
      <c r="I11" s="92" t="s">
        <v>357</v>
      </c>
      <c r="J11" s="92" t="s">
        <v>358</v>
      </c>
      <c r="K11" s="92" t="s">
        <v>366</v>
      </c>
      <c r="L11" s="92" t="s">
        <v>367</v>
      </c>
      <c r="M11" s="92" t="s">
        <v>367</v>
      </c>
      <c r="N11" s="92" t="s">
        <v>361</v>
      </c>
      <c r="O11" s="92"/>
      <c r="P11" s="92" t="s">
        <v>362</v>
      </c>
    </row>
    <row r="12" spans="1:16" ht="42" customHeight="1" x14ac:dyDescent="0.2">
      <c r="A12" s="92" t="s">
        <v>378</v>
      </c>
      <c r="B12" s="92" t="s">
        <v>260</v>
      </c>
      <c r="C12" s="92" t="s">
        <v>334</v>
      </c>
      <c r="D12" s="92" t="s">
        <v>184</v>
      </c>
      <c r="E12" s="92" t="s">
        <v>369</v>
      </c>
      <c r="F12" s="92" t="s">
        <v>370</v>
      </c>
      <c r="G12" s="92" t="s">
        <v>355</v>
      </c>
      <c r="H12" s="92" t="s">
        <v>356</v>
      </c>
      <c r="I12" s="92" t="s">
        <v>357</v>
      </c>
      <c r="J12" s="92" t="s">
        <v>358</v>
      </c>
      <c r="K12" s="92" t="s">
        <v>371</v>
      </c>
      <c r="L12" s="92" t="s">
        <v>372</v>
      </c>
      <c r="M12" s="92" t="s">
        <v>372</v>
      </c>
      <c r="N12" s="92" t="s">
        <v>361</v>
      </c>
      <c r="O12" s="92"/>
      <c r="P12" s="92" t="s">
        <v>362</v>
      </c>
    </row>
    <row r="13" spans="1:16" ht="42" customHeight="1" x14ac:dyDescent="0.2">
      <c r="A13" s="92"/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</row>
    <row r="14" spans="1:16" ht="42" customHeight="1" x14ac:dyDescent="0.2">
      <c r="A14" s="92"/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</row>
    <row r="15" spans="1:16" ht="42" customHeight="1" x14ac:dyDescent="0.2">
      <c r="A15" s="92"/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</row>
    <row r="16" spans="1:16" ht="42" customHeight="1" x14ac:dyDescent="0.2">
      <c r="A16" s="92"/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</row>
    <row r="17" spans="1:16" ht="42" customHeight="1" x14ac:dyDescent="0.2">
      <c r="A17" s="92"/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</row>
    <row r="18" spans="1:16" ht="42" customHeight="1" x14ac:dyDescent="0.2">
      <c r="A18" s="92"/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</row>
    <row r="19" spans="1:16" ht="42" customHeight="1" x14ac:dyDescent="0.2">
      <c r="A19" s="92"/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</row>
    <row r="20" spans="1:16" ht="42" customHeight="1" x14ac:dyDescent="0.2">
      <c r="A20" s="92"/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</row>
    <row r="21" spans="1:16" ht="42" customHeight="1" x14ac:dyDescent="0.2">
      <c r="A21" s="92"/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</row>
    <row r="22" spans="1:16" ht="42" customHeight="1" x14ac:dyDescent="0.2">
      <c r="A22" s="92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</row>
    <row r="23" spans="1:16" ht="42" customHeight="1" x14ac:dyDescent="0.2">
      <c r="A23" s="92"/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</row>
    <row r="24" spans="1:16" ht="42" customHeight="1" x14ac:dyDescent="0.2">
      <c r="A24" s="92"/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</row>
    <row r="25" spans="1:16" ht="42" customHeight="1" x14ac:dyDescent="0.2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</row>
    <row r="26" spans="1:16" ht="42" customHeight="1" x14ac:dyDescent="0.2">
      <c r="A26" s="92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</row>
    <row r="27" spans="1:16" ht="42" customHeight="1" x14ac:dyDescent="0.2">
      <c r="A27" s="92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</row>
    <row r="28" spans="1:16" ht="42" customHeight="1" x14ac:dyDescent="0.2">
      <c r="A28" s="92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</row>
    <row r="29" spans="1:16" ht="42" customHeight="1" x14ac:dyDescent="0.2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</row>
    <row r="30" spans="1:16" ht="42" customHeight="1" x14ac:dyDescent="0.2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</row>
    <row r="31" spans="1:16" ht="42" customHeight="1" x14ac:dyDescent="0.2">
      <c r="A31" s="92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</row>
    <row r="32" spans="1:16" ht="42" customHeight="1" x14ac:dyDescent="0.2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</row>
    <row r="33" spans="1:16" ht="42" customHeight="1" x14ac:dyDescent="0.2">
      <c r="A33" s="92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</row>
    <row r="34" spans="1:16" ht="42" customHeight="1" x14ac:dyDescent="0.2">
      <c r="A34" s="92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</row>
    <row r="35" spans="1:16" ht="42" customHeight="1" x14ac:dyDescent="0.2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</row>
    <row r="36" spans="1:16" ht="42" customHeight="1" x14ac:dyDescent="0.2">
      <c r="A36" s="92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</row>
    <row r="37" spans="1:16" ht="42" customHeight="1" x14ac:dyDescent="0.2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</row>
    <row r="38" spans="1:16" ht="42" customHeight="1" x14ac:dyDescent="0.2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</row>
    <row r="39" spans="1:16" ht="42" customHeight="1" x14ac:dyDescent="0.2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</row>
    <row r="40" spans="1:16" ht="42" customHeight="1" x14ac:dyDescent="0.2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</row>
    <row r="41" spans="1:16" ht="42" customHeight="1" x14ac:dyDescent="0.2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</row>
    <row r="42" spans="1:16" ht="42" customHeight="1" x14ac:dyDescent="0.2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</row>
    <row r="43" spans="1:16" ht="42" customHeight="1" x14ac:dyDescent="0.2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</row>
    <row r="44" spans="1:16" ht="42" customHeight="1" x14ac:dyDescent="0.2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</row>
    <row r="45" spans="1:16" ht="42" customHeight="1" x14ac:dyDescent="0.2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</row>
    <row r="46" spans="1:16" ht="42" customHeight="1" x14ac:dyDescent="0.2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</row>
    <row r="47" spans="1:16" ht="42" customHeight="1" x14ac:dyDescent="0.2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</row>
    <row r="48" spans="1:16" ht="42" customHeight="1" x14ac:dyDescent="0.2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</row>
    <row r="49" spans="1:16" ht="42" customHeight="1" x14ac:dyDescent="0.2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</row>
    <row r="50" spans="1:16" ht="42" customHeight="1" x14ac:dyDescent="0.2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</row>
    <row r="51" spans="1:16" ht="42" customHeight="1" x14ac:dyDescent="0.2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</row>
    <row r="52" spans="1:16" ht="42" customHeight="1" x14ac:dyDescent="0.2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</row>
    <row r="53" spans="1:16" ht="42" customHeight="1" x14ac:dyDescent="0.2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</row>
    <row r="54" spans="1:16" ht="42" customHeight="1" x14ac:dyDescent="0.2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</row>
    <row r="55" spans="1:16" ht="42" customHeight="1" x14ac:dyDescent="0.2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</row>
    <row r="56" spans="1:16" ht="42" customHeight="1" x14ac:dyDescent="0.2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</row>
    <row r="57" spans="1:16" ht="42" customHeight="1" x14ac:dyDescent="0.2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</row>
    <row r="58" spans="1:16" ht="42" customHeight="1" x14ac:dyDescent="0.2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</row>
    <row r="59" spans="1:16" ht="42" customHeight="1" x14ac:dyDescent="0.2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</row>
    <row r="60" spans="1:16" ht="42" customHeight="1" x14ac:dyDescent="0.2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</row>
    <row r="61" spans="1:16" ht="42" customHeight="1" x14ac:dyDescent="0.2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</row>
    <row r="62" spans="1:16" ht="42" customHeight="1" x14ac:dyDescent="0.2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</row>
    <row r="63" spans="1:16" ht="42" customHeight="1" x14ac:dyDescent="0.2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</row>
    <row r="64" spans="1:16" ht="42" customHeight="1" x14ac:dyDescent="0.2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</row>
    <row r="65" spans="1:16" ht="42" customHeight="1" x14ac:dyDescent="0.2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</row>
    <row r="66" spans="1:16" ht="42" customHeight="1" x14ac:dyDescent="0.2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</row>
    <row r="67" spans="1:16" ht="42" customHeight="1" x14ac:dyDescent="0.2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</row>
    <row r="68" spans="1:16" ht="42" customHeight="1" x14ac:dyDescent="0.2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</row>
    <row r="69" spans="1:16" ht="42" customHeight="1" x14ac:dyDescent="0.2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</row>
    <row r="70" spans="1:16" ht="42" customHeight="1" x14ac:dyDescent="0.2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</row>
    <row r="71" spans="1:16" ht="42" customHeight="1" x14ac:dyDescent="0.2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</row>
    <row r="72" spans="1:16" ht="42" customHeight="1" x14ac:dyDescent="0.2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</row>
    <row r="73" spans="1:16" ht="42" customHeight="1" x14ac:dyDescent="0.2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</row>
    <row r="74" spans="1:16" ht="42" customHeight="1" x14ac:dyDescent="0.2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</row>
    <row r="75" spans="1:16" ht="42" customHeight="1" x14ac:dyDescent="0.2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</row>
    <row r="76" spans="1:16" ht="42" customHeight="1" x14ac:dyDescent="0.2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</row>
    <row r="77" spans="1:16" ht="42" customHeight="1" x14ac:dyDescent="0.2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</row>
    <row r="78" spans="1:16" ht="42" customHeight="1" x14ac:dyDescent="0.2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</row>
    <row r="79" spans="1:16" ht="42" customHeight="1" x14ac:dyDescent="0.2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</row>
    <row r="80" spans="1:16" ht="42" customHeight="1" x14ac:dyDescent="0.2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</row>
    <row r="81" spans="1:16" ht="42" customHeight="1" x14ac:dyDescent="0.2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</row>
    <row r="82" spans="1:16" ht="42" customHeight="1" x14ac:dyDescent="0.2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</row>
    <row r="83" spans="1:16" ht="42" customHeight="1" x14ac:dyDescent="0.2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</row>
    <row r="84" spans="1:16" ht="42" customHeight="1" x14ac:dyDescent="0.2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</row>
    <row r="85" spans="1:16" ht="42" customHeight="1" x14ac:dyDescent="0.2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</row>
    <row r="86" spans="1:16" ht="42" customHeight="1" x14ac:dyDescent="0.2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</row>
    <row r="87" spans="1:16" ht="42" customHeight="1" x14ac:dyDescent="0.2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</row>
    <row r="88" spans="1:16" ht="42" customHeight="1" x14ac:dyDescent="0.2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</row>
    <row r="89" spans="1:16" ht="42" customHeight="1" x14ac:dyDescent="0.2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</row>
    <row r="90" spans="1:16" ht="42" customHeight="1" x14ac:dyDescent="0.2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</row>
    <row r="91" spans="1:16" ht="42" customHeight="1" x14ac:dyDescent="0.2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</row>
    <row r="92" spans="1:16" ht="42" customHeight="1" x14ac:dyDescent="0.2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</row>
    <row r="93" spans="1:16" ht="42" customHeight="1" x14ac:dyDescent="0.2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</row>
    <row r="94" spans="1:16" ht="42" customHeight="1" x14ac:dyDescent="0.2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</row>
    <row r="95" spans="1:16" ht="42" customHeight="1" x14ac:dyDescent="0.2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</row>
    <row r="96" spans="1:16" ht="42" customHeight="1" x14ac:dyDescent="0.2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</row>
    <row r="97" spans="1:16" ht="42" customHeight="1" x14ac:dyDescent="0.2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</row>
    <row r="98" spans="1:16" ht="42" customHeight="1" x14ac:dyDescent="0.2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</row>
    <row r="99" spans="1:16" ht="42" customHeight="1" x14ac:dyDescent="0.2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</row>
    <row r="100" spans="1:16" ht="42" customHeight="1" x14ac:dyDescent="0.2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</row>
    <row r="101" spans="1:16" ht="42" customHeight="1" x14ac:dyDescent="0.2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</row>
    <row r="102" spans="1:16" ht="42" customHeight="1" x14ac:dyDescent="0.2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</row>
    <row r="103" spans="1:16" ht="42" customHeight="1" x14ac:dyDescent="0.2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</row>
    <row r="104" spans="1:16" ht="42" customHeight="1" x14ac:dyDescent="0.2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</row>
    <row r="105" spans="1:16" ht="42" customHeight="1" x14ac:dyDescent="0.2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</row>
    <row r="106" spans="1:16" ht="42" customHeight="1" x14ac:dyDescent="0.2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</row>
  </sheetData>
  <conditionalFormatting sqref="N7:N106">
    <cfRule type="containsText" dxfId="2" priority="1" operator="containsText" text="Fallida"/>
  </conditionalFormatting>
  <dataValidations count="1">
    <dataValidation type="list" sqref="N7:N106" xr:uid="{00000000-0002-0000-0F00-000000000000}">
      <formula1>"Superada,Fallida,Bloqueada,No ejecutada"</formula1>
    </dataValidation>
  </dataValidation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10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C7" sqref="C7:I8"/>
    </sheetView>
  </sheetViews>
  <sheetFormatPr baseColWidth="10" defaultColWidth="8.83203125" defaultRowHeight="15" x14ac:dyDescent="0.2"/>
  <cols>
    <col min="1" max="5" width="14" customWidth="1"/>
    <col min="6" max="6" width="32" customWidth="1"/>
    <col min="7" max="9" width="18" customWidth="1"/>
    <col min="10" max="10" width="38" customWidth="1"/>
    <col min="11" max="11" width="34" customWidth="1"/>
    <col min="12" max="12" width="18" customWidth="1"/>
    <col min="13" max="13" width="40" customWidth="1"/>
    <col min="14" max="14" width="28" customWidth="1"/>
  </cols>
  <sheetData>
    <row r="1" spans="1:14" x14ac:dyDescent="0.2">
      <c r="A1" s="89"/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</row>
    <row r="2" spans="1:14" ht="28" customHeight="1" x14ac:dyDescent="0.2">
      <c r="A2" s="81" t="s">
        <v>379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</row>
    <row r="3" spans="1:14" ht="140" x14ac:dyDescent="0.2">
      <c r="A3" s="82" t="s">
        <v>380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</row>
    <row r="4" spans="1:14" x14ac:dyDescent="0.2">
      <c r="A4" s="89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</row>
    <row r="5" spans="1:14" ht="65" x14ac:dyDescent="0.2">
      <c r="A5" s="90" t="s">
        <v>291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</row>
    <row r="6" spans="1:14" ht="40" customHeight="1" x14ac:dyDescent="0.2">
      <c r="A6" s="91" t="s">
        <v>381</v>
      </c>
      <c r="B6" s="91" t="s">
        <v>293</v>
      </c>
      <c r="C6" s="91" t="s">
        <v>340</v>
      </c>
      <c r="D6" s="91" t="s">
        <v>292</v>
      </c>
      <c r="E6" s="91" t="s">
        <v>324</v>
      </c>
      <c r="F6" s="91" t="s">
        <v>382</v>
      </c>
      <c r="G6" s="91" t="s">
        <v>343</v>
      </c>
      <c r="H6" s="91" t="s">
        <v>383</v>
      </c>
      <c r="I6" s="91" t="s">
        <v>384</v>
      </c>
      <c r="J6" s="91" t="s">
        <v>385</v>
      </c>
      <c r="K6" s="91" t="s">
        <v>386</v>
      </c>
      <c r="L6" s="91" t="s">
        <v>15</v>
      </c>
      <c r="M6" s="91" t="s">
        <v>387</v>
      </c>
      <c r="N6" s="91" t="s">
        <v>351</v>
      </c>
    </row>
    <row r="7" spans="1:14" ht="42" customHeight="1" x14ac:dyDescent="0.2">
      <c r="A7" s="92" t="s">
        <v>388</v>
      </c>
      <c r="B7" s="92" t="s">
        <v>260</v>
      </c>
      <c r="C7" s="92" t="s">
        <v>264</v>
      </c>
      <c r="D7" s="92" t="s">
        <v>315</v>
      </c>
      <c r="E7" s="92" t="s">
        <v>184</v>
      </c>
      <c r="F7" s="92" t="s">
        <v>389</v>
      </c>
      <c r="G7" s="92" t="s">
        <v>355</v>
      </c>
      <c r="H7" s="92" t="s">
        <v>390</v>
      </c>
      <c r="I7" s="92" t="s">
        <v>356</v>
      </c>
      <c r="J7" s="92" t="s">
        <v>391</v>
      </c>
      <c r="K7" s="92" t="s">
        <v>392</v>
      </c>
      <c r="L7" s="92" t="s">
        <v>393</v>
      </c>
      <c r="M7" s="92" t="s">
        <v>394</v>
      </c>
      <c r="N7" s="92" t="s">
        <v>332</v>
      </c>
    </row>
    <row r="8" spans="1:14" ht="42" customHeight="1" x14ac:dyDescent="0.2">
      <c r="A8" s="92" t="s">
        <v>395</v>
      </c>
      <c r="B8" s="92" t="s">
        <v>260</v>
      </c>
      <c r="C8" s="92" t="s">
        <v>334</v>
      </c>
      <c r="D8" s="92" t="s">
        <v>320</v>
      </c>
      <c r="E8" s="92" t="s">
        <v>184</v>
      </c>
      <c r="F8" s="92" t="s">
        <v>396</v>
      </c>
      <c r="G8" s="92" t="s">
        <v>397</v>
      </c>
      <c r="H8" s="92" t="s">
        <v>261</v>
      </c>
      <c r="I8" s="92" t="s">
        <v>356</v>
      </c>
      <c r="J8" s="92" t="s">
        <v>398</v>
      </c>
      <c r="K8" s="92"/>
      <c r="L8" s="92" t="s">
        <v>399</v>
      </c>
      <c r="M8" s="92" t="s">
        <v>400</v>
      </c>
      <c r="N8" s="92" t="s">
        <v>335</v>
      </c>
    </row>
    <row r="9" spans="1:14" ht="42" customHeight="1" x14ac:dyDescent="0.2">
      <c r="A9" s="92"/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</row>
    <row r="10" spans="1:14" ht="42" customHeight="1" x14ac:dyDescent="0.2">
      <c r="A10" s="92"/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</row>
    <row r="11" spans="1:14" ht="42" customHeight="1" x14ac:dyDescent="0.2">
      <c r="A11" s="92"/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</row>
    <row r="12" spans="1:14" ht="42" customHeight="1" x14ac:dyDescent="0.2">
      <c r="A12" s="92"/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</row>
    <row r="13" spans="1:14" ht="42" customHeight="1" x14ac:dyDescent="0.2">
      <c r="A13" s="92"/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</row>
    <row r="14" spans="1:14" ht="42" customHeight="1" x14ac:dyDescent="0.2">
      <c r="A14" s="92"/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</row>
    <row r="15" spans="1:14" ht="42" customHeight="1" x14ac:dyDescent="0.2">
      <c r="A15" s="92"/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</row>
    <row r="16" spans="1:14" ht="42" customHeight="1" x14ac:dyDescent="0.2">
      <c r="A16" s="92"/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</row>
    <row r="17" spans="1:14" ht="42" customHeight="1" x14ac:dyDescent="0.2">
      <c r="A17" s="92"/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</row>
    <row r="18" spans="1:14" ht="42" customHeight="1" x14ac:dyDescent="0.2">
      <c r="A18" s="92"/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</row>
    <row r="19" spans="1:14" ht="42" customHeight="1" x14ac:dyDescent="0.2">
      <c r="A19" s="92"/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</row>
    <row r="20" spans="1:14" ht="42" customHeight="1" x14ac:dyDescent="0.2">
      <c r="A20" s="92"/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</row>
    <row r="21" spans="1:14" ht="42" customHeight="1" x14ac:dyDescent="0.2">
      <c r="A21" s="92"/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</row>
    <row r="22" spans="1:14" ht="42" customHeight="1" x14ac:dyDescent="0.2">
      <c r="A22" s="92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</row>
    <row r="23" spans="1:14" ht="42" customHeight="1" x14ac:dyDescent="0.2">
      <c r="A23" s="92"/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</row>
    <row r="24" spans="1:14" ht="42" customHeight="1" x14ac:dyDescent="0.2">
      <c r="A24" s="92"/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</row>
    <row r="25" spans="1:14" ht="42" customHeight="1" x14ac:dyDescent="0.2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</row>
    <row r="26" spans="1:14" ht="42" customHeight="1" x14ac:dyDescent="0.2">
      <c r="A26" s="92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</row>
    <row r="27" spans="1:14" ht="42" customHeight="1" x14ac:dyDescent="0.2">
      <c r="A27" s="92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</row>
    <row r="28" spans="1:14" ht="42" customHeight="1" x14ac:dyDescent="0.2">
      <c r="A28" s="92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</row>
    <row r="29" spans="1:14" ht="42" customHeight="1" x14ac:dyDescent="0.2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</row>
    <row r="30" spans="1:14" ht="42" customHeight="1" x14ac:dyDescent="0.2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</row>
    <row r="31" spans="1:14" ht="42" customHeight="1" x14ac:dyDescent="0.2">
      <c r="A31" s="92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</row>
    <row r="32" spans="1:14" ht="42" customHeight="1" x14ac:dyDescent="0.2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</row>
    <row r="33" spans="1:14" ht="42" customHeight="1" x14ac:dyDescent="0.2">
      <c r="A33" s="92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</row>
    <row r="34" spans="1:14" ht="42" customHeight="1" x14ac:dyDescent="0.2">
      <c r="A34" s="92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</row>
    <row r="35" spans="1:14" ht="42" customHeight="1" x14ac:dyDescent="0.2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</row>
    <row r="36" spans="1:14" ht="42" customHeight="1" x14ac:dyDescent="0.2">
      <c r="A36" s="92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</row>
    <row r="37" spans="1:14" ht="42" customHeight="1" x14ac:dyDescent="0.2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</row>
    <row r="38" spans="1:14" ht="42" customHeight="1" x14ac:dyDescent="0.2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</row>
    <row r="39" spans="1:14" ht="42" customHeight="1" x14ac:dyDescent="0.2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</row>
    <row r="40" spans="1:14" ht="42" customHeight="1" x14ac:dyDescent="0.2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</row>
    <row r="41" spans="1:14" ht="42" customHeight="1" x14ac:dyDescent="0.2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</row>
    <row r="42" spans="1:14" ht="42" customHeight="1" x14ac:dyDescent="0.2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</row>
    <row r="43" spans="1:14" ht="42" customHeight="1" x14ac:dyDescent="0.2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</row>
    <row r="44" spans="1:14" ht="42" customHeight="1" x14ac:dyDescent="0.2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</row>
    <row r="45" spans="1:14" ht="42" customHeight="1" x14ac:dyDescent="0.2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</row>
    <row r="46" spans="1:14" ht="42" customHeight="1" x14ac:dyDescent="0.2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</row>
    <row r="47" spans="1:14" ht="42" customHeight="1" x14ac:dyDescent="0.2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</row>
    <row r="48" spans="1:14" ht="42" customHeight="1" x14ac:dyDescent="0.2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</row>
    <row r="49" spans="1:14" ht="42" customHeight="1" x14ac:dyDescent="0.2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</row>
    <row r="50" spans="1:14" ht="42" customHeight="1" x14ac:dyDescent="0.2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</row>
    <row r="51" spans="1:14" ht="42" customHeight="1" x14ac:dyDescent="0.2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</row>
    <row r="52" spans="1:14" ht="42" customHeight="1" x14ac:dyDescent="0.2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</row>
    <row r="53" spans="1:14" ht="42" customHeight="1" x14ac:dyDescent="0.2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</row>
    <row r="54" spans="1:14" ht="42" customHeight="1" x14ac:dyDescent="0.2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</row>
    <row r="55" spans="1:14" ht="42" customHeight="1" x14ac:dyDescent="0.2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</row>
    <row r="56" spans="1:14" ht="42" customHeight="1" x14ac:dyDescent="0.2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</row>
    <row r="57" spans="1:14" ht="42" customHeight="1" x14ac:dyDescent="0.2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</row>
    <row r="58" spans="1:14" ht="42" customHeight="1" x14ac:dyDescent="0.2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</row>
    <row r="59" spans="1:14" ht="42" customHeight="1" x14ac:dyDescent="0.2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</row>
    <row r="60" spans="1:14" ht="42" customHeight="1" x14ac:dyDescent="0.2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</row>
    <row r="61" spans="1:14" ht="42" customHeight="1" x14ac:dyDescent="0.2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</row>
    <row r="62" spans="1:14" ht="42" customHeight="1" x14ac:dyDescent="0.2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</row>
    <row r="63" spans="1:14" ht="42" customHeight="1" x14ac:dyDescent="0.2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</row>
    <row r="64" spans="1:14" ht="42" customHeight="1" x14ac:dyDescent="0.2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</row>
    <row r="65" spans="1:14" ht="42" customHeight="1" x14ac:dyDescent="0.2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</row>
    <row r="66" spans="1:14" ht="42" customHeight="1" x14ac:dyDescent="0.2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</row>
    <row r="67" spans="1:14" ht="42" customHeight="1" x14ac:dyDescent="0.2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</row>
    <row r="68" spans="1:14" ht="42" customHeight="1" x14ac:dyDescent="0.2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</row>
    <row r="69" spans="1:14" ht="42" customHeight="1" x14ac:dyDescent="0.2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</row>
    <row r="70" spans="1:14" ht="42" customHeight="1" x14ac:dyDescent="0.2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</row>
    <row r="71" spans="1:14" ht="42" customHeight="1" x14ac:dyDescent="0.2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</row>
    <row r="72" spans="1:14" ht="42" customHeight="1" x14ac:dyDescent="0.2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</row>
    <row r="73" spans="1:14" ht="42" customHeight="1" x14ac:dyDescent="0.2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</row>
    <row r="74" spans="1:14" ht="42" customHeight="1" x14ac:dyDescent="0.2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</row>
    <row r="75" spans="1:14" ht="42" customHeight="1" x14ac:dyDescent="0.2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</row>
    <row r="76" spans="1:14" ht="42" customHeight="1" x14ac:dyDescent="0.2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</row>
    <row r="77" spans="1:14" ht="42" customHeight="1" x14ac:dyDescent="0.2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</row>
    <row r="78" spans="1:14" ht="42" customHeight="1" x14ac:dyDescent="0.2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</row>
    <row r="79" spans="1:14" ht="42" customHeight="1" x14ac:dyDescent="0.2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</row>
    <row r="80" spans="1:14" ht="42" customHeight="1" x14ac:dyDescent="0.2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</row>
    <row r="81" spans="1:14" ht="42" customHeight="1" x14ac:dyDescent="0.2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</row>
    <row r="82" spans="1:14" ht="42" customHeight="1" x14ac:dyDescent="0.2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</row>
    <row r="83" spans="1:14" ht="42" customHeight="1" x14ac:dyDescent="0.2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</row>
    <row r="84" spans="1:14" ht="42" customHeight="1" x14ac:dyDescent="0.2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</row>
    <row r="85" spans="1:14" ht="42" customHeight="1" x14ac:dyDescent="0.2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</row>
    <row r="86" spans="1:14" ht="42" customHeight="1" x14ac:dyDescent="0.2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</row>
    <row r="87" spans="1:14" ht="42" customHeight="1" x14ac:dyDescent="0.2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</row>
    <row r="88" spans="1:14" ht="42" customHeight="1" x14ac:dyDescent="0.2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</row>
    <row r="89" spans="1:14" ht="42" customHeight="1" x14ac:dyDescent="0.2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</row>
    <row r="90" spans="1:14" ht="42" customHeight="1" x14ac:dyDescent="0.2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</row>
    <row r="91" spans="1:14" ht="42" customHeight="1" x14ac:dyDescent="0.2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</row>
    <row r="92" spans="1:14" ht="42" customHeight="1" x14ac:dyDescent="0.2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</row>
    <row r="93" spans="1:14" ht="42" customHeight="1" x14ac:dyDescent="0.2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</row>
    <row r="94" spans="1:14" ht="42" customHeight="1" x14ac:dyDescent="0.2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</row>
    <row r="95" spans="1:14" ht="42" customHeight="1" x14ac:dyDescent="0.2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</row>
    <row r="96" spans="1:14" ht="42" customHeight="1" x14ac:dyDescent="0.2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</row>
    <row r="97" spans="1:14" ht="42" customHeight="1" x14ac:dyDescent="0.2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</row>
    <row r="98" spans="1:14" ht="42" customHeight="1" x14ac:dyDescent="0.2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</row>
    <row r="99" spans="1:14" ht="42" customHeight="1" x14ac:dyDescent="0.2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</row>
    <row r="100" spans="1:14" ht="42" customHeight="1" x14ac:dyDescent="0.2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</row>
    <row r="101" spans="1:14" ht="42" customHeight="1" x14ac:dyDescent="0.2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</row>
    <row r="102" spans="1:14" ht="42" customHeight="1" x14ac:dyDescent="0.2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</row>
    <row r="103" spans="1:14" ht="42" customHeight="1" x14ac:dyDescent="0.2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</row>
    <row r="104" spans="1:14" ht="42" customHeight="1" x14ac:dyDescent="0.2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</row>
    <row r="105" spans="1:14" ht="42" customHeight="1" x14ac:dyDescent="0.2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</row>
    <row r="106" spans="1:14" ht="42" customHeight="1" x14ac:dyDescent="0.2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</row>
  </sheetData>
  <conditionalFormatting sqref="L7:L106">
    <cfRule type="containsText" dxfId="1" priority="1" operator="containsText" text="Con hallazgos"/>
  </conditionalFormatting>
  <dataValidations count="1">
    <dataValidation type="list" sqref="L7:L106" xr:uid="{00000000-0002-0000-1000-000000000000}">
      <formula1>"Pendiente,En revisión,Con hallazgos,Cerrada"</formula1>
    </dataValidation>
  </dataValidation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10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7" sqref="A7:N10"/>
    </sheetView>
  </sheetViews>
  <sheetFormatPr baseColWidth="10" defaultColWidth="8.83203125" defaultRowHeight="15" x14ac:dyDescent="0.2"/>
  <cols>
    <col min="1" max="1" width="16" customWidth="1"/>
    <col min="2" max="5" width="14" customWidth="1"/>
    <col min="6" max="6" width="36" customWidth="1"/>
    <col min="7" max="7" width="17" customWidth="1"/>
    <col min="8" max="8" width="20" customWidth="1"/>
    <col min="9" max="10" width="18" customWidth="1"/>
    <col min="11" max="11" width="34" customWidth="1"/>
    <col min="12" max="12" width="22" customWidth="1"/>
    <col min="13" max="13" width="30" customWidth="1"/>
    <col min="14" max="14" width="28" customWidth="1"/>
  </cols>
  <sheetData>
    <row r="1" spans="1:14" x14ac:dyDescent="0.2">
      <c r="A1" s="89"/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</row>
    <row r="2" spans="1:14" ht="28" customHeight="1" x14ac:dyDescent="0.2">
      <c r="A2" s="81" t="s">
        <v>401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</row>
    <row r="3" spans="1:14" ht="154" x14ac:dyDescent="0.2">
      <c r="A3" s="82" t="s">
        <v>402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</row>
    <row r="4" spans="1:14" x14ac:dyDescent="0.2">
      <c r="A4" s="89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</row>
    <row r="5" spans="1:14" ht="52" x14ac:dyDescent="0.2">
      <c r="A5" s="90" t="s">
        <v>291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</row>
    <row r="6" spans="1:14" ht="40" customHeight="1" x14ac:dyDescent="0.2">
      <c r="A6" s="91" t="s">
        <v>403</v>
      </c>
      <c r="B6" s="91" t="s">
        <v>293</v>
      </c>
      <c r="C6" s="91" t="s">
        <v>340</v>
      </c>
      <c r="D6" s="91" t="s">
        <v>350</v>
      </c>
      <c r="E6" s="91" t="s">
        <v>324</v>
      </c>
      <c r="F6" s="91" t="s">
        <v>404</v>
      </c>
      <c r="G6" s="91" t="s">
        <v>405</v>
      </c>
      <c r="H6" s="91" t="s">
        <v>167</v>
      </c>
      <c r="I6" s="91" t="s">
        <v>170</v>
      </c>
      <c r="J6" s="91" t="s">
        <v>15</v>
      </c>
      <c r="K6" s="91" t="s">
        <v>406</v>
      </c>
      <c r="L6" s="91" t="s">
        <v>407</v>
      </c>
      <c r="M6" s="91" t="s">
        <v>408</v>
      </c>
      <c r="N6" s="91" t="s">
        <v>351</v>
      </c>
    </row>
    <row r="7" spans="1:14" ht="42" customHeight="1" x14ac:dyDescent="0.2">
      <c r="A7" s="92" t="s">
        <v>409</v>
      </c>
      <c r="B7" s="92" t="s">
        <v>260</v>
      </c>
      <c r="C7" s="92" t="s">
        <v>264</v>
      </c>
      <c r="D7" s="92" t="s">
        <v>375</v>
      </c>
      <c r="E7" s="92" t="s">
        <v>184</v>
      </c>
      <c r="F7" s="92" t="s">
        <v>410</v>
      </c>
      <c r="G7" s="92" t="s">
        <v>176</v>
      </c>
      <c r="H7" s="92" t="s">
        <v>411</v>
      </c>
      <c r="I7" s="92" t="s">
        <v>390</v>
      </c>
      <c r="J7" s="92" t="s">
        <v>412</v>
      </c>
      <c r="K7" s="92" t="s">
        <v>413</v>
      </c>
      <c r="L7" s="92" t="s">
        <v>414</v>
      </c>
      <c r="M7" s="92" t="s">
        <v>415</v>
      </c>
      <c r="N7" s="92" t="s">
        <v>416</v>
      </c>
    </row>
    <row r="8" spans="1:14" ht="42" customHeight="1" x14ac:dyDescent="0.2">
      <c r="A8" s="92" t="s">
        <v>417</v>
      </c>
      <c r="B8" s="92" t="s">
        <v>260</v>
      </c>
      <c r="C8" s="92" t="s">
        <v>334</v>
      </c>
      <c r="D8" s="92" t="s">
        <v>375</v>
      </c>
      <c r="E8" s="92" t="s">
        <v>184</v>
      </c>
      <c r="F8" s="92" t="s">
        <v>410</v>
      </c>
      <c r="G8" s="92" t="s">
        <v>176</v>
      </c>
      <c r="H8" s="92" t="s">
        <v>411</v>
      </c>
      <c r="I8" s="92" t="s">
        <v>390</v>
      </c>
      <c r="J8" s="92" t="s">
        <v>418</v>
      </c>
      <c r="K8" s="92" t="s">
        <v>419</v>
      </c>
      <c r="L8" s="92" t="s">
        <v>420</v>
      </c>
      <c r="M8" s="92" t="s">
        <v>421</v>
      </c>
      <c r="N8" s="92" t="s">
        <v>416</v>
      </c>
    </row>
    <row r="9" spans="1:14" ht="42" customHeight="1" x14ac:dyDescent="0.2">
      <c r="A9" s="92"/>
      <c r="B9" s="92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</row>
    <row r="10" spans="1:14" ht="42" customHeight="1" x14ac:dyDescent="0.2">
      <c r="A10" s="92"/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</row>
    <row r="11" spans="1:14" ht="42" customHeight="1" x14ac:dyDescent="0.2">
      <c r="A11" s="92"/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</row>
    <row r="12" spans="1:14" ht="42" customHeight="1" x14ac:dyDescent="0.2">
      <c r="A12" s="92"/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</row>
    <row r="13" spans="1:14" ht="42" customHeight="1" x14ac:dyDescent="0.2">
      <c r="A13" s="92"/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</row>
    <row r="14" spans="1:14" ht="42" customHeight="1" x14ac:dyDescent="0.2">
      <c r="A14" s="92"/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</row>
    <row r="15" spans="1:14" ht="42" customHeight="1" x14ac:dyDescent="0.2">
      <c r="A15" s="92"/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</row>
    <row r="16" spans="1:14" ht="42" customHeight="1" x14ac:dyDescent="0.2">
      <c r="A16" s="92"/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</row>
    <row r="17" spans="1:14" ht="42" customHeight="1" x14ac:dyDescent="0.2">
      <c r="A17" s="92"/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</row>
    <row r="18" spans="1:14" ht="42" customHeight="1" x14ac:dyDescent="0.2">
      <c r="A18" s="92"/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</row>
    <row r="19" spans="1:14" ht="42" customHeight="1" x14ac:dyDescent="0.2">
      <c r="A19" s="92"/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</row>
    <row r="20" spans="1:14" ht="42" customHeight="1" x14ac:dyDescent="0.2">
      <c r="A20" s="92"/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</row>
    <row r="21" spans="1:14" ht="42" customHeight="1" x14ac:dyDescent="0.2">
      <c r="A21" s="92"/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</row>
    <row r="22" spans="1:14" ht="42" customHeight="1" x14ac:dyDescent="0.2">
      <c r="A22" s="92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</row>
    <row r="23" spans="1:14" ht="42" customHeight="1" x14ac:dyDescent="0.2">
      <c r="A23" s="92"/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</row>
    <row r="24" spans="1:14" ht="42" customHeight="1" x14ac:dyDescent="0.2">
      <c r="A24" s="92"/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</row>
    <row r="25" spans="1:14" ht="42" customHeight="1" x14ac:dyDescent="0.2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</row>
    <row r="26" spans="1:14" ht="42" customHeight="1" x14ac:dyDescent="0.2">
      <c r="A26" s="92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</row>
    <row r="27" spans="1:14" ht="42" customHeight="1" x14ac:dyDescent="0.2">
      <c r="A27" s="92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</row>
    <row r="28" spans="1:14" ht="42" customHeight="1" x14ac:dyDescent="0.2">
      <c r="A28" s="92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</row>
    <row r="29" spans="1:14" ht="42" customHeight="1" x14ac:dyDescent="0.2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</row>
    <row r="30" spans="1:14" ht="42" customHeight="1" x14ac:dyDescent="0.2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</row>
    <row r="31" spans="1:14" ht="42" customHeight="1" x14ac:dyDescent="0.2">
      <c r="A31" s="92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</row>
    <row r="32" spans="1:14" ht="42" customHeight="1" x14ac:dyDescent="0.2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</row>
    <row r="33" spans="1:14" ht="42" customHeight="1" x14ac:dyDescent="0.2">
      <c r="A33" s="92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</row>
    <row r="34" spans="1:14" ht="42" customHeight="1" x14ac:dyDescent="0.2">
      <c r="A34" s="92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</row>
    <row r="35" spans="1:14" ht="42" customHeight="1" x14ac:dyDescent="0.2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</row>
    <row r="36" spans="1:14" ht="42" customHeight="1" x14ac:dyDescent="0.2">
      <c r="A36" s="92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</row>
    <row r="37" spans="1:14" ht="42" customHeight="1" x14ac:dyDescent="0.2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</row>
    <row r="38" spans="1:14" ht="42" customHeight="1" x14ac:dyDescent="0.2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</row>
    <row r="39" spans="1:14" ht="42" customHeight="1" x14ac:dyDescent="0.2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</row>
    <row r="40" spans="1:14" ht="42" customHeight="1" x14ac:dyDescent="0.2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</row>
    <row r="41" spans="1:14" ht="42" customHeight="1" x14ac:dyDescent="0.2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</row>
    <row r="42" spans="1:14" ht="42" customHeight="1" x14ac:dyDescent="0.2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</row>
    <row r="43" spans="1:14" ht="42" customHeight="1" x14ac:dyDescent="0.2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</row>
    <row r="44" spans="1:14" ht="42" customHeight="1" x14ac:dyDescent="0.2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</row>
    <row r="45" spans="1:14" ht="42" customHeight="1" x14ac:dyDescent="0.2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</row>
    <row r="46" spans="1:14" ht="42" customHeight="1" x14ac:dyDescent="0.2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</row>
    <row r="47" spans="1:14" ht="42" customHeight="1" x14ac:dyDescent="0.2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</row>
    <row r="48" spans="1:14" ht="42" customHeight="1" x14ac:dyDescent="0.2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</row>
    <row r="49" spans="1:14" ht="42" customHeight="1" x14ac:dyDescent="0.2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</row>
    <row r="50" spans="1:14" ht="42" customHeight="1" x14ac:dyDescent="0.2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</row>
    <row r="51" spans="1:14" ht="42" customHeight="1" x14ac:dyDescent="0.2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</row>
    <row r="52" spans="1:14" ht="42" customHeight="1" x14ac:dyDescent="0.2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</row>
    <row r="53" spans="1:14" ht="42" customHeight="1" x14ac:dyDescent="0.2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</row>
    <row r="54" spans="1:14" ht="42" customHeight="1" x14ac:dyDescent="0.2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</row>
    <row r="55" spans="1:14" ht="42" customHeight="1" x14ac:dyDescent="0.2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</row>
    <row r="56" spans="1:14" ht="42" customHeight="1" x14ac:dyDescent="0.2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</row>
    <row r="57" spans="1:14" ht="42" customHeight="1" x14ac:dyDescent="0.2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</row>
    <row r="58" spans="1:14" ht="42" customHeight="1" x14ac:dyDescent="0.2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</row>
    <row r="59" spans="1:14" ht="42" customHeight="1" x14ac:dyDescent="0.2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</row>
    <row r="60" spans="1:14" ht="42" customHeight="1" x14ac:dyDescent="0.2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</row>
    <row r="61" spans="1:14" ht="42" customHeight="1" x14ac:dyDescent="0.2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</row>
    <row r="62" spans="1:14" ht="42" customHeight="1" x14ac:dyDescent="0.2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</row>
    <row r="63" spans="1:14" ht="42" customHeight="1" x14ac:dyDescent="0.2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</row>
    <row r="64" spans="1:14" ht="42" customHeight="1" x14ac:dyDescent="0.2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</row>
    <row r="65" spans="1:14" ht="42" customHeight="1" x14ac:dyDescent="0.2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</row>
    <row r="66" spans="1:14" ht="42" customHeight="1" x14ac:dyDescent="0.2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</row>
    <row r="67" spans="1:14" ht="42" customHeight="1" x14ac:dyDescent="0.2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</row>
    <row r="68" spans="1:14" ht="42" customHeight="1" x14ac:dyDescent="0.2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</row>
    <row r="69" spans="1:14" ht="42" customHeight="1" x14ac:dyDescent="0.2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</row>
    <row r="70" spans="1:14" ht="42" customHeight="1" x14ac:dyDescent="0.2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</row>
    <row r="71" spans="1:14" ht="42" customHeight="1" x14ac:dyDescent="0.2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</row>
    <row r="72" spans="1:14" ht="42" customHeight="1" x14ac:dyDescent="0.2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</row>
    <row r="73" spans="1:14" ht="42" customHeight="1" x14ac:dyDescent="0.2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</row>
    <row r="74" spans="1:14" ht="42" customHeight="1" x14ac:dyDescent="0.2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</row>
    <row r="75" spans="1:14" ht="42" customHeight="1" x14ac:dyDescent="0.2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</row>
    <row r="76" spans="1:14" ht="42" customHeight="1" x14ac:dyDescent="0.2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</row>
    <row r="77" spans="1:14" ht="42" customHeight="1" x14ac:dyDescent="0.2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</row>
    <row r="78" spans="1:14" ht="42" customHeight="1" x14ac:dyDescent="0.2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</row>
    <row r="79" spans="1:14" ht="42" customHeight="1" x14ac:dyDescent="0.2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</row>
    <row r="80" spans="1:14" ht="42" customHeight="1" x14ac:dyDescent="0.2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</row>
    <row r="81" spans="1:14" ht="42" customHeight="1" x14ac:dyDescent="0.2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</row>
    <row r="82" spans="1:14" ht="42" customHeight="1" x14ac:dyDescent="0.2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</row>
    <row r="83" spans="1:14" ht="42" customHeight="1" x14ac:dyDescent="0.2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</row>
    <row r="84" spans="1:14" ht="42" customHeight="1" x14ac:dyDescent="0.2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</row>
    <row r="85" spans="1:14" ht="42" customHeight="1" x14ac:dyDescent="0.2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</row>
    <row r="86" spans="1:14" ht="42" customHeight="1" x14ac:dyDescent="0.2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</row>
    <row r="87" spans="1:14" ht="42" customHeight="1" x14ac:dyDescent="0.2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</row>
    <row r="88" spans="1:14" ht="42" customHeight="1" x14ac:dyDescent="0.2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</row>
    <row r="89" spans="1:14" ht="42" customHeight="1" x14ac:dyDescent="0.2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</row>
    <row r="90" spans="1:14" ht="42" customHeight="1" x14ac:dyDescent="0.2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</row>
    <row r="91" spans="1:14" ht="42" customHeight="1" x14ac:dyDescent="0.2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</row>
    <row r="92" spans="1:14" ht="42" customHeight="1" x14ac:dyDescent="0.2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</row>
    <row r="93" spans="1:14" ht="42" customHeight="1" x14ac:dyDescent="0.2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</row>
    <row r="94" spans="1:14" ht="42" customHeight="1" x14ac:dyDescent="0.2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</row>
    <row r="95" spans="1:14" ht="42" customHeight="1" x14ac:dyDescent="0.2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</row>
    <row r="96" spans="1:14" ht="42" customHeight="1" x14ac:dyDescent="0.2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</row>
    <row r="97" spans="1:14" ht="42" customHeight="1" x14ac:dyDescent="0.2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</row>
    <row r="98" spans="1:14" ht="42" customHeight="1" x14ac:dyDescent="0.2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</row>
    <row r="99" spans="1:14" ht="42" customHeight="1" x14ac:dyDescent="0.2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</row>
    <row r="100" spans="1:14" ht="42" customHeight="1" x14ac:dyDescent="0.2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</row>
    <row r="101" spans="1:14" ht="42" customHeight="1" x14ac:dyDescent="0.2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</row>
    <row r="102" spans="1:14" ht="42" customHeight="1" x14ac:dyDescent="0.2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</row>
    <row r="103" spans="1:14" ht="42" customHeight="1" x14ac:dyDescent="0.2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</row>
    <row r="104" spans="1:14" ht="42" customHeight="1" x14ac:dyDescent="0.2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</row>
    <row r="105" spans="1:14" ht="42" customHeight="1" x14ac:dyDescent="0.2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</row>
    <row r="106" spans="1:14" ht="42" customHeight="1" x14ac:dyDescent="0.2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</row>
  </sheetData>
  <conditionalFormatting sqref="J7:J106">
    <cfRule type="containsText" dxfId="0" priority="1" operator="containsText" text="Abierto"/>
  </conditionalFormatting>
  <dataValidations count="2">
    <dataValidation type="list" sqref="G7:G106" xr:uid="{00000000-0002-0000-1100-000000000000}">
      <formula1>"Crítica,Alta,Media,Baja"</formula1>
    </dataValidation>
    <dataValidation type="list" sqref="J7:J106" xr:uid="{00000000-0002-0000-1100-000001000000}">
      <formula1>"Abierto,En corrección,Pendiente verificación,Cerrado"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Plan</vt:lpstr>
      <vt:lpstr>Lider SM</vt:lpstr>
      <vt:lpstr>Producto Owner</vt:lpstr>
      <vt:lpstr>Planificacion</vt:lpstr>
      <vt:lpstr>Desarrollo</vt:lpstr>
      <vt:lpstr>Cambios</vt:lpstr>
      <vt:lpstr>Calidad</vt:lpstr>
      <vt:lpstr>Horas Estimadas</vt:lpstr>
      <vt:lpstr>Horas Reales</vt:lpstr>
      <vt:lpstr>Valor Ganado</vt:lpstr>
      <vt:lpstr>Historias</vt:lpstr>
      <vt:lpstr>Burndown</vt:lpstr>
      <vt:lpstr>Resumen Scrum</vt:lpstr>
      <vt:lpstr>Plan Calidad</vt:lpstr>
      <vt:lpstr>DoD</vt:lpstr>
      <vt:lpstr>Pruebas</vt:lpstr>
      <vt:lpstr>Evidencias</vt:lpstr>
      <vt:lpstr>Defectos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Tomás San Feliu Gilabert</cp:lastModifiedBy>
  <dcterms:created xsi:type="dcterms:W3CDTF">2026-09-17T09:28:36Z</dcterms:created>
  <dcterms:modified xsi:type="dcterms:W3CDTF">2026-09-17T11:18:37Z</dcterms:modified>
</cp:coreProperties>
</file>